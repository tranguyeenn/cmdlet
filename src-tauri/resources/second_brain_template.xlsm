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15" codeName="{643B0D74-A683-FBA9-23B4-8A0AA6E0B6B9}"/>
  <workbookPr filterPrivacy="1" codeName="ThisWorkbook"/>
  <xr:revisionPtr revIDLastSave="0" documentId="13_ncr:1_{882A00E8-60CA-F844-BD4A-6FB8B80186AA}" xr6:coauthVersionLast="47" xr6:coauthVersionMax="47" xr10:uidLastSave="{00000000-0000-0000-0000-000000000000}"/>
  <bookViews>
    <workbookView xWindow="0" yWindow="660" windowWidth="29400" windowHeight="18460" activeTab="5" xr2:uid="{00000000-000D-0000-FFFF-FFFF00000000}"/>
  </bookViews>
  <sheets>
    <sheet name="Dashboard" sheetId="1" r:id="rId1"/>
    <sheet name="Classes" sheetId="2" r:id="rId2"/>
    <sheet name="Assignments View" sheetId="14" r:id="rId3"/>
    <sheet name="Exams View" sheetId="15" r:id="rId4"/>
    <sheet name="Projects View" sheetId="16" r:id="rId5"/>
    <sheet name="Books View" sheetId="17" r:id="rId6"/>
    <sheet name="Tasks View" sheetId="18" r:id="rId7"/>
    <sheet name="Events View" sheetId="19" r:id="rId8"/>
    <sheet name="Life Tracker" sheetId="11" r:id="rId9"/>
    <sheet name="Events" sheetId="8" state="hidden" r:id="rId10"/>
    <sheet name="Tasks" sheetId="7" state="hidden" r:id="rId11"/>
    <sheet name="Books" sheetId="6" state="hidden" r:id="rId12"/>
    <sheet name="Projects" sheetId="5" state="hidden" r:id="rId13"/>
    <sheet name="Assignments" sheetId="3" state="hidden" r:id="rId14"/>
    <sheet name="Exams" sheetId="4" state="hidden" r:id="rId1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8" l="1" a="1"/>
  <c r="A2" i="18"/>
  <c r="A2" i="17" a="1"/>
  <c r="A2" i="17"/>
  <c r="A2" i="16" a="1"/>
  <c r="A2" i="16"/>
  <c r="A2" i="15" a="1"/>
  <c r="A2" i="15"/>
  <c r="B2" i="14" a="1"/>
  <c r="B2" i="14"/>
  <c r="AD5" i="1" a="1"/>
  <c r="AD5" i="1"/>
  <c r="AA5" i="1" a="1"/>
  <c r="AA5" i="1"/>
  <c r="V5" i="1" a="1"/>
  <c r="V5" i="1" s="1"/>
  <c r="L5" i="1" a="1"/>
  <c r="L5" i="1" s="1"/>
  <c r="A5" i="1" a="1"/>
  <c r="A5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<sst xmlns="http://schemas.openxmlformats.org/spreadsheetml/2006/main" count="128" uniqueCount="48">
  <si>
    <t>Cmdlet Second Brain Dashboard</t>
  </si>
  <si>
    <t>Due This Week</t>
  </si>
  <si>
    <t>Overdue Assignment</t>
  </si>
  <si>
    <t>Exam Next 14 Days</t>
  </si>
  <si>
    <t>Active Project</t>
  </si>
  <si>
    <t>Current Books</t>
  </si>
  <si>
    <t>Course</t>
  </si>
  <si>
    <t>Assignment</t>
  </si>
  <si>
    <t>Due Date</t>
  </si>
  <si>
    <t>Priority</t>
  </si>
  <si>
    <t>Status</t>
  </si>
  <si>
    <t>Estimated Hours</t>
  </si>
  <si>
    <t>Actual Hours</t>
  </si>
  <si>
    <t>Notes</t>
  </si>
  <si>
    <t>Exam</t>
  </si>
  <si>
    <t>Exam Date</t>
  </si>
  <si>
    <t>Project</t>
  </si>
  <si>
    <t>Title</t>
  </si>
  <si>
    <t>Author</t>
  </si>
  <si>
    <t>Professor</t>
  </si>
  <si>
    <t>Credits</t>
  </si>
  <si>
    <t>Semester</t>
  </si>
  <si>
    <t>Current Grade</t>
  </si>
  <si>
    <t>Target Grade</t>
  </si>
  <si>
    <t>Exam Name</t>
  </si>
  <si>
    <t>Weight</t>
  </si>
  <si>
    <t>Score</t>
  </si>
  <si>
    <t>Study Status</t>
  </si>
  <si>
    <t>Category</t>
  </si>
  <si>
    <t>Milestone</t>
  </si>
  <si>
    <t>Deadline</t>
  </si>
  <si>
    <t>GitHub Link</t>
  </si>
  <si>
    <t>Start Date</t>
  </si>
  <si>
    <t>Finish Date</t>
  </si>
  <si>
    <t>Current Page</t>
  </si>
  <si>
    <t>Total Pages</t>
  </si>
  <si>
    <t>Rating</t>
  </si>
  <si>
    <t>Due Time</t>
  </si>
  <si>
    <t>Date</t>
  </si>
  <si>
    <t>Start Time</t>
  </si>
  <si>
    <t>End Time</t>
  </si>
  <si>
    <t>Sleep Hours</t>
  </si>
  <si>
    <t>Mood</t>
  </si>
  <si>
    <t>Energy</t>
  </si>
  <si>
    <t>Study Hours</t>
  </si>
  <si>
    <t>Coding Hours</t>
  </si>
  <si>
    <t>Reading Pages</t>
  </si>
  <si>
    <t>Courses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</si>
</sst>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4"/>
      <name val="Calibri"/>
      <family val="2"/>
    </font>
    <font>
      <b/>
      <sz val="14"/>
      <color rgb="FFFFFFFF"/>
      <name val="Calibri"/>
      <family val="2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rgb="FFFFFFFF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u/>
      <sz val="20"/>
      <color rgb="FF0563C1"/>
      <name val="Calibri"/>
      <family val="2"/>
      <scheme val="minor"/>
    </font>
    <font>
      <sz val="2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E5E7EB"/>
      </patternFill>
    </fill>
    <fill>
      <patternFill patternType="solid">
        <fgColor rgb="FF1E3A5F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theme="0" tint="-0.14999847407452621"/>
      </patternFill>
    </fill>
  </fills>
  <borders count="15">
    <border>
      <left/>
      <right/>
      <top/>
      <bottom/>
      <diagonal/>
    </border>
    <border>
      <left/>
      <right/>
      <top/>
      <bottom style="thin">
        <color rgb="FF0F172A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rgb="FF0F172A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4">
    <xf numFmtId="0" fontId="0" fillId="0" borderId="0" xfId="0"/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4" fillId="0" borderId="0" xfId="1" applyAlignment="1">
      <alignment vertical="top" wrapText="1"/>
    </xf>
    <xf numFmtId="15" fontId="0" fillId="0" borderId="0" xfId="0" applyNumberFormat="1"/>
    <xf numFmtId="0" fontId="3" fillId="0" borderId="3" xfId="0" applyFont="1" applyBorder="1" applyAlignment="1">
      <alignment vertical="top" wrapText="1"/>
    </xf>
    <xf numFmtId="0" fontId="0" fillId="0" borderId="4" xfId="0" applyBorder="1"/>
    <xf numFmtId="0" fontId="0" fillId="0" borderId="5" xfId="0" applyBorder="1"/>
    <xf numFmtId="0" fontId="0" fillId="5" borderId="4" xfId="0" applyFill="1" applyBorder="1"/>
    <xf numFmtId="0" fontId="0" fillId="5" borderId="5" xfId="0" applyFill="1" applyBorder="1"/>
    <xf numFmtId="0" fontId="1" fillId="0" borderId="0" xfId="0" applyFont="1" applyAlignment="1">
      <alignment vertical="center"/>
    </xf>
    <xf numFmtId="15" fontId="0" fillId="0" borderId="5" xfId="0" applyNumberFormat="1" applyBorder="1"/>
    <xf numFmtId="0" fontId="2" fillId="4" borderId="0" xfId="0" applyFont="1" applyFill="1" applyAlignment="1">
      <alignment horizontal="center" vertical="center"/>
    </xf>
    <xf numFmtId="0" fontId="3" fillId="0" borderId="6" xfId="0" applyFont="1" applyBorder="1"/>
    <xf numFmtId="15" fontId="0" fillId="0" borderId="6" xfId="0" applyNumberFormat="1" applyBorder="1"/>
    <xf numFmtId="0" fontId="0" fillId="0" borderId="6" xfId="0" applyBorder="1"/>
    <xf numFmtId="0" fontId="0" fillId="5" borderId="6" xfId="0" applyFill="1" applyBorder="1"/>
    <xf numFmtId="0" fontId="2" fillId="4" borderId="7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3" fillId="0" borderId="10" xfId="0" applyFont="1" applyBorder="1"/>
    <xf numFmtId="0" fontId="0" fillId="0" borderId="11" xfId="0" applyBorder="1"/>
    <xf numFmtId="0" fontId="0" fillId="5" borderId="10" xfId="0" applyFill="1" applyBorder="1"/>
    <xf numFmtId="0" fontId="0" fillId="5" borderId="11" xfId="0" applyFill="1" applyBorder="1"/>
    <xf numFmtId="0" fontId="0" fillId="0" borderId="10" xfId="0" applyBorder="1"/>
    <xf numFmtId="0" fontId="0" fillId="5" borderId="12" xfId="0" applyFill="1" applyBorder="1"/>
    <xf numFmtId="0" fontId="0" fillId="5" borderId="13" xfId="0" applyFill="1" applyBorder="1"/>
    <xf numFmtId="0" fontId="0" fillId="5" borderId="14" xfId="0" applyFill="1" applyBorder="1"/>
    <xf numFmtId="15" fontId="0" fillId="0" borderId="10" xfId="0" applyNumberFormat="1" applyBorder="1"/>
    <xf numFmtId="15" fontId="3" fillId="0" borderId="10" xfId="0" applyNumberFormat="1" applyFont="1" applyBorder="1"/>
    <xf numFmtId="0" fontId="0" fillId="6" borderId="6" xfId="0" applyFill="1" applyBorder="1"/>
    <xf numFmtId="15" fontId="0" fillId="6" borderId="6" xfId="0" applyNumberFormat="1" applyFill="1" applyBorder="1"/>
    <xf numFmtId="0" fontId="3" fillId="6" borderId="6" xfId="0" applyFont="1" applyFill="1" applyBorder="1"/>
    <xf numFmtId="0" fontId="6" fillId="0" borderId="0" xfId="0" applyFont="1"/>
    <xf numFmtId="0" fontId="5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3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top" wrapText="1"/>
    </xf>
    <xf numFmtId="0" fontId="10" fillId="0" borderId="0" xfId="0" applyFont="1" applyAlignment="1">
      <alignment vertical="top" wrapText="1"/>
    </xf>
    <xf numFmtId="0" fontId="6" fillId="6" borderId="6" xfId="0" applyFont="1" applyFill="1" applyBorder="1"/>
    <xf numFmtId="15" fontId="6" fillId="6" borderId="6" xfId="0" applyNumberFormat="1" applyFont="1" applyFill="1" applyBorder="1"/>
    <xf numFmtId="0" fontId="5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03">
    <dxf>
      <fill>
        <patternFill patternType="solid">
          <fgColor rgb="FFFDE68A"/>
          <bgColor rgb="FFFDE68A"/>
        </patternFill>
      </fill>
    </dxf>
    <dxf>
      <fill>
        <patternFill patternType="solid">
          <fgColor rgb="FFBBF7D0"/>
          <bgColor rgb="FFBBF7D0"/>
        </patternFill>
      </fill>
    </dxf>
    <dxf>
      <fill>
        <patternFill patternType="solid">
          <fgColor rgb="FFE9D5FF"/>
          <bgColor rgb="FFE9D5FF"/>
        </patternFill>
      </fill>
    </dxf>
    <dxf>
      <fill>
        <patternFill patternType="solid">
          <fgColor rgb="FFDBEAFE"/>
          <bgColor rgb="FFDBEAFE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DE68A"/>
          <bgColor rgb="FFFDE68A"/>
        </patternFill>
      </fill>
    </dxf>
    <dxf>
      <fill>
        <patternFill patternType="solid">
          <fgColor rgb="FFBBF7D0"/>
          <bgColor rgb="FFBBF7D0"/>
        </patternFill>
      </fill>
    </dxf>
    <dxf>
      <fill>
        <patternFill patternType="solid">
          <fgColor rgb="FFE9D5FF"/>
          <bgColor rgb="FFE9D5FF"/>
        </patternFill>
      </fill>
    </dxf>
    <dxf>
      <fill>
        <patternFill patternType="solid">
          <fgColor rgb="FFDBEAFE"/>
          <bgColor rgb="FFDBEAFE"/>
        </patternFill>
      </fill>
    </dxf>
    <dxf>
      <fill>
        <patternFill patternType="solid">
          <fgColor rgb="FFFDE68A"/>
          <bgColor rgb="FFFDE68A"/>
        </patternFill>
      </fill>
    </dxf>
    <dxf>
      <fill>
        <patternFill patternType="solid">
          <fgColor rgb="FFBBF7D0"/>
          <bgColor rgb="FFBBF7D0"/>
        </patternFill>
      </fill>
    </dxf>
    <dxf>
      <fill>
        <patternFill patternType="solid">
          <fgColor rgb="FFE9D5FF"/>
          <bgColor rgb="FFE9D5FF"/>
        </patternFill>
      </fill>
    </dxf>
    <dxf>
      <fill>
        <patternFill patternType="solid">
          <fgColor rgb="FFDBEAFE"/>
          <bgColor rgb="FFDBEAFE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DE68A"/>
          <bgColor rgb="FFFDE68A"/>
        </patternFill>
      </fill>
    </dxf>
    <dxf>
      <fill>
        <patternFill patternType="solid">
          <fgColor rgb="FFBBF7D0"/>
          <bgColor rgb="FFBBF7D0"/>
        </patternFill>
      </fill>
    </dxf>
    <dxf>
      <fill>
        <patternFill patternType="solid">
          <fgColor rgb="FFE9D5FF"/>
          <bgColor rgb="FFE9D5FF"/>
        </patternFill>
      </fill>
    </dxf>
    <dxf>
      <fill>
        <patternFill patternType="solid">
          <fgColor rgb="FFDBEAFE"/>
          <bgColor rgb="FFDBEAFE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DE68A"/>
          <bgColor rgb="FFFDE68A"/>
        </patternFill>
      </fill>
    </dxf>
    <dxf>
      <fill>
        <patternFill patternType="solid">
          <fgColor rgb="FFBBF7D0"/>
          <bgColor rgb="FFBBF7D0"/>
        </patternFill>
      </fill>
    </dxf>
    <dxf>
      <fill>
        <patternFill patternType="solid">
          <fgColor rgb="FFE9D5FF"/>
          <bgColor rgb="FFE9D5FF"/>
        </patternFill>
      </fill>
    </dxf>
    <dxf>
      <fill>
        <patternFill patternType="solid">
          <fgColor rgb="FFDBEAFE"/>
          <bgColor rgb="FFDBEAFE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DE68A"/>
          <bgColor rgb="FFFDE68A"/>
        </patternFill>
      </fill>
    </dxf>
    <dxf>
      <fill>
        <patternFill patternType="solid">
          <fgColor rgb="FFBBF7D0"/>
          <bgColor rgb="FFBBF7D0"/>
        </patternFill>
      </fill>
    </dxf>
    <dxf>
      <fill>
        <patternFill patternType="solid">
          <fgColor rgb="FFE9D5FF"/>
          <bgColor rgb="FFE9D5FF"/>
        </patternFill>
      </fill>
    </dxf>
    <dxf>
      <fill>
        <patternFill patternType="solid">
          <fgColor rgb="FFDBEAFE"/>
          <bgColor rgb="FFDBEAFE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DE68A"/>
          <bgColor rgb="FFFDE68A"/>
        </patternFill>
      </fill>
    </dxf>
    <dxf>
      <fill>
        <patternFill patternType="solid">
          <fgColor rgb="FFBBF7D0"/>
          <bgColor rgb="FFBBF7D0"/>
        </patternFill>
      </fill>
    </dxf>
    <dxf>
      <fill>
        <patternFill patternType="solid">
          <fgColor rgb="FFE9D5FF"/>
          <bgColor rgb="FFE9D5FF"/>
        </patternFill>
      </fill>
    </dxf>
    <dxf>
      <fill>
        <patternFill patternType="solid">
          <fgColor rgb="FFDBEAFE"/>
          <bgColor rgb="FFDBEAFE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DE68A"/>
          <bgColor rgb="FFFDE68A"/>
        </patternFill>
      </fill>
    </dxf>
    <dxf>
      <fill>
        <patternFill patternType="solid">
          <fgColor rgb="FFBBF7D0"/>
          <bgColor rgb="FFBBF7D0"/>
        </patternFill>
      </fill>
    </dxf>
    <dxf>
      <fill>
        <patternFill patternType="solid">
          <fgColor rgb="FFE9D5FF"/>
          <bgColor rgb="FFE9D5FF"/>
        </patternFill>
      </fill>
    </dxf>
    <dxf>
      <fill>
        <patternFill patternType="solid">
          <fgColor rgb="FFDBEAFE"/>
          <bgColor rgb="FFDBEAFE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DE68A"/>
          <bgColor rgb="FFFDE68A"/>
        </patternFill>
      </fill>
    </dxf>
    <dxf>
      <fill>
        <patternFill patternType="solid">
          <fgColor rgb="FFBBF7D0"/>
          <bgColor rgb="FFBBF7D0"/>
        </patternFill>
      </fill>
    </dxf>
    <dxf>
      <fill>
        <patternFill patternType="solid">
          <fgColor rgb="FFE9D5FF"/>
          <bgColor rgb="FFE9D5FF"/>
        </patternFill>
      </fill>
    </dxf>
    <dxf>
      <fill>
        <patternFill patternType="solid">
          <fgColor rgb="FFDBEAFE"/>
          <bgColor rgb="FFDBEAFE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DE68A"/>
          <bgColor rgb="FFFDE68A"/>
        </patternFill>
      </fill>
    </dxf>
    <dxf>
      <fill>
        <patternFill patternType="solid">
          <fgColor rgb="FFBBF7D0"/>
          <bgColor rgb="FFBBF7D0"/>
        </patternFill>
      </fill>
    </dxf>
    <dxf>
      <fill>
        <patternFill patternType="solid">
          <fgColor rgb="FFE9D5FF"/>
          <bgColor rgb="FFE9D5FF"/>
        </patternFill>
      </fill>
    </dxf>
    <dxf>
      <fill>
        <patternFill patternType="solid">
          <fgColor rgb="FFDBEAFE"/>
          <bgColor rgb="FFDBEAFE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DE68A"/>
          <bgColor rgb="FFFDE68A"/>
        </patternFill>
      </fill>
    </dxf>
    <dxf>
      <fill>
        <patternFill patternType="solid">
          <fgColor rgb="FFBBF7D0"/>
          <bgColor rgb="FFBBF7D0"/>
        </patternFill>
      </fill>
    </dxf>
    <dxf>
      <fill>
        <patternFill patternType="solid">
          <fgColor rgb="FFE9D5FF"/>
          <bgColor rgb="FFE9D5FF"/>
        </patternFill>
      </fill>
    </dxf>
    <dxf>
      <fill>
        <patternFill patternType="solid">
          <fgColor rgb="FFDBEAFE"/>
          <bgColor rgb="FFDBEAFE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DE68A"/>
          <bgColor rgb="FFFDE68A"/>
        </patternFill>
      </fill>
    </dxf>
    <dxf>
      <fill>
        <patternFill patternType="solid">
          <fgColor rgb="FFBBF7D0"/>
          <bgColor rgb="FFBBF7D0"/>
        </patternFill>
      </fill>
    </dxf>
    <dxf>
      <fill>
        <patternFill patternType="solid">
          <fgColor rgb="FFE9D5FF"/>
          <bgColor rgb="FFE9D5FF"/>
        </patternFill>
      </fill>
    </dxf>
    <dxf>
      <fill>
        <patternFill patternType="solid">
          <fgColor rgb="FFDBEAFE"/>
          <bgColor rgb="FFDBEAFE"/>
        </patternFill>
      </fill>
    </dxf>
    <dxf>
      <fill>
        <patternFill patternType="solid">
          <fgColor rgb="FFFDE68A"/>
          <bgColor rgb="FFFDE68A"/>
        </patternFill>
      </fill>
    </dxf>
    <dxf>
      <fill>
        <patternFill patternType="solid">
          <fgColor rgb="FFBBF7D0"/>
          <bgColor rgb="FFBBF7D0"/>
        </patternFill>
      </fill>
    </dxf>
    <dxf>
      <fill>
        <patternFill patternType="solid">
          <fgColor rgb="FFE9D5FF"/>
          <bgColor rgb="FFE9D5FF"/>
        </patternFill>
      </fill>
    </dxf>
    <dxf>
      <fill>
        <patternFill patternType="solid">
          <fgColor rgb="FFDBEAFE"/>
          <bgColor rgb="FFDBEAFE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DE68A"/>
          <bgColor rgb="FFFDE68A"/>
        </patternFill>
      </fill>
    </dxf>
    <dxf>
      <fill>
        <patternFill patternType="solid">
          <fgColor rgb="FFBBF7D0"/>
          <bgColor rgb="FFBBF7D0"/>
        </patternFill>
      </fill>
    </dxf>
    <dxf>
      <fill>
        <patternFill patternType="solid">
          <fgColor rgb="FFE9D5FF"/>
          <bgColor rgb="FFE9D5FF"/>
        </patternFill>
      </fill>
    </dxf>
    <dxf>
      <fill>
        <patternFill patternType="solid">
          <fgColor rgb="FFDBEAFE"/>
          <bgColor rgb="FFDBEAFE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DE68A"/>
          <bgColor rgb="FFFDE68A"/>
        </patternFill>
      </fill>
    </dxf>
    <dxf>
      <fill>
        <patternFill patternType="solid">
          <fgColor rgb="FFBBF7D0"/>
          <bgColor rgb="FFBBF7D0"/>
        </patternFill>
      </fill>
    </dxf>
    <dxf>
      <fill>
        <patternFill patternType="solid">
          <fgColor rgb="FFE9D5FF"/>
          <bgColor rgb="FFE9D5FF"/>
        </patternFill>
      </fill>
    </dxf>
    <dxf>
      <fill>
        <patternFill patternType="solid">
          <fgColor rgb="FFDBEAFE"/>
          <bgColor rgb="FFDBEAFE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DE68A"/>
          <bgColor rgb="FFFDE68A"/>
        </patternFill>
      </fill>
    </dxf>
    <dxf>
      <fill>
        <patternFill patternType="solid">
          <fgColor rgb="FFBBF7D0"/>
          <bgColor rgb="FFBBF7D0"/>
        </patternFill>
      </fill>
    </dxf>
    <dxf>
      <fill>
        <patternFill patternType="solid">
          <fgColor rgb="FFE9D5FF"/>
          <bgColor rgb="FFE9D5FF"/>
        </patternFill>
      </fill>
    </dxf>
    <dxf>
      <fill>
        <patternFill patternType="solid">
          <fgColor rgb="FFDBEAFE"/>
          <bgColor rgb="FFDBEAFE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DE68A"/>
          <bgColor rgb="FFFDE68A"/>
        </patternFill>
      </fill>
    </dxf>
    <dxf>
      <fill>
        <patternFill patternType="solid">
          <fgColor rgb="FFBBF7D0"/>
          <bgColor rgb="FFBBF7D0"/>
        </patternFill>
      </fill>
    </dxf>
    <dxf>
      <fill>
        <patternFill patternType="solid">
          <fgColor rgb="FFE9D5FF"/>
          <bgColor rgb="FFE9D5FF"/>
        </patternFill>
      </fill>
    </dxf>
    <dxf>
      <fill>
        <patternFill patternType="solid">
          <fgColor rgb="FFDBEAFE"/>
          <bgColor rgb="FFDBEAFE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DE68A"/>
          <bgColor rgb="FFFDE68A"/>
        </patternFill>
      </fill>
    </dxf>
    <dxf>
      <fill>
        <patternFill patternType="solid">
          <fgColor rgb="FFBBF7D0"/>
          <bgColor rgb="FFBBF7D0"/>
        </patternFill>
      </fill>
    </dxf>
    <dxf>
      <fill>
        <patternFill patternType="solid">
          <fgColor rgb="FFE9D5FF"/>
          <bgColor rgb="FFE9D5FF"/>
        </patternFill>
      </fill>
    </dxf>
    <dxf>
      <fill>
        <patternFill patternType="solid">
          <fgColor rgb="FFDBEAFE"/>
          <bgColor rgb="FFDBEAFE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DE68A"/>
          <bgColor rgb="FFFDE68A"/>
        </patternFill>
      </fill>
    </dxf>
    <dxf>
      <fill>
        <patternFill patternType="solid">
          <fgColor rgb="FFBBF7D0"/>
          <bgColor rgb="FFBBF7D0"/>
        </patternFill>
      </fill>
    </dxf>
    <dxf>
      <fill>
        <patternFill patternType="solid">
          <fgColor rgb="FFE9D5FF"/>
          <bgColor rgb="FFE9D5FF"/>
        </patternFill>
      </fill>
    </dxf>
    <dxf>
      <fill>
        <patternFill patternType="solid">
          <fgColor rgb="FFDBEAFE"/>
          <bgColor rgb="FFDBEAFE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DE68A"/>
          <bgColor rgb="FFFDE68A"/>
        </patternFill>
      </fill>
    </dxf>
    <dxf>
      <fill>
        <patternFill patternType="solid">
          <fgColor rgb="FFBBF7D0"/>
          <bgColor rgb="FFBBF7D0"/>
        </patternFill>
      </fill>
    </dxf>
    <dxf>
      <fill>
        <patternFill patternType="solid">
          <fgColor rgb="FFE9D5FF"/>
          <bgColor rgb="FFE9D5FF"/>
        </patternFill>
      </fill>
    </dxf>
    <dxf>
      <fill>
        <patternFill patternType="solid">
          <fgColor rgb="FFDBEAFE"/>
          <bgColor rgb="FFDBEAFE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DE68A"/>
          <bgColor rgb="FFFDE68A"/>
        </patternFill>
      </fill>
    </dxf>
    <dxf>
      <fill>
        <patternFill patternType="solid">
          <fgColor rgb="FFBBF7D0"/>
          <bgColor rgb="FFBBF7D0"/>
        </patternFill>
      </fill>
    </dxf>
    <dxf>
      <fill>
        <patternFill patternType="solid">
          <fgColor rgb="FFE9D5FF"/>
          <bgColor rgb="FFE9D5FF"/>
        </patternFill>
      </fill>
    </dxf>
    <dxf>
      <fill>
        <patternFill patternType="solid">
          <fgColor rgb="FFDBEAFE"/>
          <bgColor rgb="FFDBEAFE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663014</xdr:colOff>
      <xdr:row>1</xdr:row>
      <xdr:rowOff>9338</xdr:rowOff>
    </xdr:from>
    <xdr:to>
      <xdr:col>10</xdr:col>
      <xdr:colOff>905062</xdr:colOff>
      <xdr:row>5</xdr:row>
      <xdr:rowOff>83297</xdr:rowOff>
    </xdr:to>
    <xdr:sp macro="[0]!OpenAssignments" textlink="">
      <xdr:nvSpPr>
        <xdr:cNvPr id="2" name="Rectangle 1">
          <a:extLst>
            <a:ext uri="{FF2B5EF4-FFF2-40B4-BE49-F238E27FC236}">
              <a16:creationId xmlns:a16="http://schemas.microsoft.com/office/drawing/2014/main" id="{895442EC-E08C-2787-53F3-D10BFF2832B1}"/>
            </a:ext>
          </a:extLst>
        </xdr:cNvPr>
        <xdr:cNvSpPr/>
      </xdr:nvSpPr>
      <xdr:spPr>
        <a:xfrm>
          <a:off x="11803529" y="317500"/>
          <a:ext cx="2137709" cy="914400"/>
        </a:xfrm>
        <a:prstGeom prst="rect">
          <a:avLst/>
        </a:prstGeom>
        <a:solidFill>
          <a:schemeClr val="tx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Raw</a:t>
          </a:r>
          <a:r>
            <a:rPr lang="en-US" sz="1600" b="1" baseline="0">
              <a:solidFill>
                <a:schemeClr val="bg1"/>
              </a:solidFill>
            </a:rPr>
            <a:t> Assignment Source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662609</xdr:colOff>
      <xdr:row>1</xdr:row>
      <xdr:rowOff>0</xdr:rowOff>
    </xdr:from>
    <xdr:to>
      <xdr:col>11</xdr:col>
      <xdr:colOff>113071</xdr:colOff>
      <xdr:row>5</xdr:row>
      <xdr:rowOff>39313</xdr:rowOff>
    </xdr:to>
    <xdr:sp macro="[0]!OpenExams" textlink="">
      <xdr:nvSpPr>
        <xdr:cNvPr id="2" name="Rectangle 1">
          <a:extLst>
            <a:ext uri="{FF2B5EF4-FFF2-40B4-BE49-F238E27FC236}">
              <a16:creationId xmlns:a16="http://schemas.microsoft.com/office/drawing/2014/main" id="{5FCCCBFC-DEAD-F144-8714-5E9F79AB7629}"/>
            </a:ext>
          </a:extLst>
        </xdr:cNvPr>
        <xdr:cNvSpPr/>
      </xdr:nvSpPr>
      <xdr:spPr>
        <a:xfrm>
          <a:off x="8715145" y="276087"/>
          <a:ext cx="2137709" cy="858371"/>
        </a:xfrm>
        <a:prstGeom prst="rect">
          <a:avLst/>
        </a:prstGeom>
        <a:solidFill>
          <a:schemeClr val="tx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Raw</a:t>
          </a:r>
          <a:r>
            <a:rPr lang="en-US" sz="1600" b="1" baseline="0">
              <a:solidFill>
                <a:schemeClr val="bg1"/>
              </a:solidFill>
            </a:rPr>
            <a:t> Exam Source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11</xdr:col>
      <xdr:colOff>126029</xdr:colOff>
      <xdr:row>5</xdr:row>
      <xdr:rowOff>35411</xdr:rowOff>
    </xdr:to>
    <xdr:sp macro="[0]!OpenProjects" textlink="">
      <xdr:nvSpPr>
        <xdr:cNvPr id="2" name="Rectangle 1">
          <a:extLst>
            <a:ext uri="{FF2B5EF4-FFF2-40B4-BE49-F238E27FC236}">
              <a16:creationId xmlns:a16="http://schemas.microsoft.com/office/drawing/2014/main" id="{1F370EC5-750A-D748-A418-5D457B4E2F1A}"/>
            </a:ext>
          </a:extLst>
        </xdr:cNvPr>
        <xdr:cNvSpPr/>
      </xdr:nvSpPr>
      <xdr:spPr>
        <a:xfrm>
          <a:off x="8412480" y="284480"/>
          <a:ext cx="2137709" cy="858371"/>
        </a:xfrm>
        <a:prstGeom prst="rect">
          <a:avLst/>
        </a:prstGeom>
        <a:solidFill>
          <a:schemeClr val="tx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Raw</a:t>
          </a:r>
          <a:r>
            <a:rPr lang="en-US" sz="1600" b="1" baseline="0">
              <a:solidFill>
                <a:schemeClr val="bg1"/>
              </a:solidFill>
            </a:rPr>
            <a:t> Projects Source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13</xdr:col>
      <xdr:colOff>122274</xdr:colOff>
      <xdr:row>5</xdr:row>
      <xdr:rowOff>39313</xdr:rowOff>
    </xdr:to>
    <xdr:sp macro="[0]!OpenBooks" textlink="">
      <xdr:nvSpPr>
        <xdr:cNvPr id="2" name="Rectangle 1">
          <a:extLst>
            <a:ext uri="{FF2B5EF4-FFF2-40B4-BE49-F238E27FC236}">
              <a16:creationId xmlns:a16="http://schemas.microsoft.com/office/drawing/2014/main" id="{3E29EEEA-A1EC-3747-A75E-B1AF5CDBB0D6}"/>
            </a:ext>
          </a:extLst>
        </xdr:cNvPr>
        <xdr:cNvSpPr/>
      </xdr:nvSpPr>
      <xdr:spPr>
        <a:xfrm>
          <a:off x="9791884" y="276087"/>
          <a:ext cx="2137709" cy="858371"/>
        </a:xfrm>
        <a:prstGeom prst="rect">
          <a:avLst/>
        </a:prstGeom>
        <a:solidFill>
          <a:schemeClr val="tx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Raw</a:t>
          </a:r>
          <a:r>
            <a:rPr lang="en-US" sz="1600" b="1" baseline="0">
              <a:solidFill>
                <a:schemeClr val="bg1"/>
              </a:solidFill>
            </a:rPr>
            <a:t> Books Source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10</xdr:col>
      <xdr:colOff>126876</xdr:colOff>
      <xdr:row>5</xdr:row>
      <xdr:rowOff>46982</xdr:rowOff>
    </xdr:to>
    <xdr:sp macro="[0]!OpenTasks" textlink="">
      <xdr:nvSpPr>
        <xdr:cNvPr id="2" name="Rectangle 1">
          <a:extLst>
            <a:ext uri="{FF2B5EF4-FFF2-40B4-BE49-F238E27FC236}">
              <a16:creationId xmlns:a16="http://schemas.microsoft.com/office/drawing/2014/main" id="{CDBFC1E5-8EC5-304E-8380-B54BAAD33257}"/>
            </a:ext>
          </a:extLst>
        </xdr:cNvPr>
        <xdr:cNvSpPr/>
      </xdr:nvSpPr>
      <xdr:spPr>
        <a:xfrm>
          <a:off x="6173611" y="282222"/>
          <a:ext cx="2137709" cy="858371"/>
        </a:xfrm>
        <a:prstGeom prst="rect">
          <a:avLst/>
        </a:prstGeom>
        <a:solidFill>
          <a:schemeClr val="tx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Raw</a:t>
          </a:r>
          <a:r>
            <a:rPr lang="en-US" sz="1600" b="1" baseline="0">
              <a:solidFill>
                <a:schemeClr val="bg1"/>
              </a:solidFill>
            </a:rPr>
            <a:t> Tasks Source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278258</xdr:rowOff>
    </xdr:from>
    <xdr:to>
      <xdr:col>9</xdr:col>
      <xdr:colOff>125687</xdr:colOff>
      <xdr:row>5</xdr:row>
      <xdr:rowOff>87809</xdr:rowOff>
    </xdr:to>
    <xdr:sp macro="[0]!OpenEvents" textlink="">
      <xdr:nvSpPr>
        <xdr:cNvPr id="2" name="Rectangle 1">
          <a:extLst>
            <a:ext uri="{FF2B5EF4-FFF2-40B4-BE49-F238E27FC236}">
              <a16:creationId xmlns:a16="http://schemas.microsoft.com/office/drawing/2014/main" id="{70AEB763-2ACB-9B41-A8E2-6C29E3CB4C10}"/>
            </a:ext>
          </a:extLst>
        </xdr:cNvPr>
        <xdr:cNvSpPr/>
      </xdr:nvSpPr>
      <xdr:spPr>
        <a:xfrm>
          <a:off x="5393933" y="278258"/>
          <a:ext cx="2137709" cy="858371"/>
        </a:xfrm>
        <a:prstGeom prst="rect">
          <a:avLst/>
        </a:prstGeom>
        <a:solidFill>
          <a:schemeClr val="tx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Raw</a:t>
          </a:r>
          <a:r>
            <a:rPr lang="en-US" sz="1600" b="1" baseline="0">
              <a:solidFill>
                <a:schemeClr val="bg1"/>
              </a:solidFill>
            </a:rPr>
            <a:t> Events Source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278258</xdr:rowOff>
    </xdr:from>
    <xdr:to>
      <xdr:col>9</xdr:col>
      <xdr:colOff>125687</xdr:colOff>
      <xdr:row>5</xdr:row>
      <xdr:rowOff>87809</xdr:rowOff>
    </xdr:to>
    <xdr:sp macro="[0]!BacktoEventsView" textlink="">
      <xdr:nvSpPr>
        <xdr:cNvPr id="2" name="Rectangle 1">
          <a:extLst>
            <a:ext uri="{FF2B5EF4-FFF2-40B4-BE49-F238E27FC236}">
              <a16:creationId xmlns:a16="http://schemas.microsoft.com/office/drawing/2014/main" id="{4A51FEC1-F25E-9142-B94B-BAC321803480}"/>
            </a:ext>
          </a:extLst>
        </xdr:cNvPr>
        <xdr:cNvSpPr/>
      </xdr:nvSpPr>
      <xdr:spPr>
        <a:xfrm>
          <a:off x="5800618" y="278258"/>
          <a:ext cx="2137709" cy="858371"/>
        </a:xfrm>
        <a:prstGeom prst="rect">
          <a:avLst/>
        </a:prstGeom>
        <a:solidFill>
          <a:schemeClr val="tx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Events View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670277</xdr:colOff>
      <xdr:row>1</xdr:row>
      <xdr:rowOff>0</xdr:rowOff>
    </xdr:from>
    <xdr:to>
      <xdr:col>10</xdr:col>
      <xdr:colOff>126875</xdr:colOff>
      <xdr:row>5</xdr:row>
      <xdr:rowOff>96371</xdr:rowOff>
    </xdr:to>
    <xdr:sp macro="[0]!BacktoTasksView" textlink="">
      <xdr:nvSpPr>
        <xdr:cNvPr id="2" name="Rectangle 1">
          <a:extLst>
            <a:ext uri="{FF2B5EF4-FFF2-40B4-BE49-F238E27FC236}">
              <a16:creationId xmlns:a16="http://schemas.microsoft.com/office/drawing/2014/main" id="{262E1C88-2F28-C04D-B4F3-AE44D5D53C29}"/>
            </a:ext>
          </a:extLst>
        </xdr:cNvPr>
        <xdr:cNvSpPr/>
      </xdr:nvSpPr>
      <xdr:spPr>
        <a:xfrm>
          <a:off x="6519333" y="282222"/>
          <a:ext cx="2137709" cy="858371"/>
        </a:xfrm>
        <a:prstGeom prst="rect">
          <a:avLst/>
        </a:prstGeom>
        <a:solidFill>
          <a:schemeClr val="tx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Tasks View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13</xdr:col>
      <xdr:colOff>122274</xdr:colOff>
      <xdr:row>5</xdr:row>
      <xdr:rowOff>85328</xdr:rowOff>
    </xdr:to>
    <xdr:sp macro="[0]!BacktoBooksView" textlink="">
      <xdr:nvSpPr>
        <xdr:cNvPr id="2" name="Rectangle 1">
          <a:extLst>
            <a:ext uri="{FF2B5EF4-FFF2-40B4-BE49-F238E27FC236}">
              <a16:creationId xmlns:a16="http://schemas.microsoft.com/office/drawing/2014/main" id="{A9421E0F-1264-A844-AD23-30947885EFF3}"/>
            </a:ext>
          </a:extLst>
        </xdr:cNvPr>
        <xdr:cNvSpPr/>
      </xdr:nvSpPr>
      <xdr:spPr>
        <a:xfrm>
          <a:off x="9791884" y="276087"/>
          <a:ext cx="2137709" cy="858371"/>
        </a:xfrm>
        <a:prstGeom prst="rect">
          <a:avLst/>
        </a:prstGeom>
        <a:solidFill>
          <a:schemeClr val="tx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Books</a:t>
          </a:r>
          <a:r>
            <a:rPr lang="en-US" sz="1600" b="1" baseline="0">
              <a:solidFill>
                <a:schemeClr val="bg1"/>
              </a:solidFill>
            </a:rPr>
            <a:t> View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11</xdr:col>
      <xdr:colOff>126029</xdr:colOff>
      <xdr:row>5</xdr:row>
      <xdr:rowOff>86211</xdr:rowOff>
    </xdr:to>
    <xdr:sp macro="[0]!BacktoProjectsView" textlink="">
      <xdr:nvSpPr>
        <xdr:cNvPr id="2" name="Rectangle 1">
          <a:extLst>
            <a:ext uri="{FF2B5EF4-FFF2-40B4-BE49-F238E27FC236}">
              <a16:creationId xmlns:a16="http://schemas.microsoft.com/office/drawing/2014/main" id="{2CC8175D-91FA-3C48-B8BB-902B2418D721}"/>
            </a:ext>
          </a:extLst>
        </xdr:cNvPr>
        <xdr:cNvSpPr/>
      </xdr:nvSpPr>
      <xdr:spPr>
        <a:xfrm>
          <a:off x="8331200" y="284480"/>
          <a:ext cx="2137709" cy="858371"/>
        </a:xfrm>
        <a:prstGeom prst="rect">
          <a:avLst/>
        </a:prstGeom>
        <a:solidFill>
          <a:schemeClr val="tx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Projects</a:t>
          </a:r>
          <a:r>
            <a:rPr lang="en-US" sz="1600" b="1" baseline="0">
              <a:solidFill>
                <a:schemeClr val="bg1"/>
              </a:solidFill>
            </a:rPr>
            <a:t> View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12</xdr:col>
      <xdr:colOff>120651</xdr:colOff>
      <xdr:row>5</xdr:row>
      <xdr:rowOff>167341</xdr:rowOff>
    </xdr:to>
    <xdr:sp macro="[0]!BacktoAssignmentView" textlink="">
      <xdr:nvSpPr>
        <xdr:cNvPr id="2" name="Rectangle 1">
          <a:extLst>
            <a:ext uri="{FF2B5EF4-FFF2-40B4-BE49-F238E27FC236}">
              <a16:creationId xmlns:a16="http://schemas.microsoft.com/office/drawing/2014/main" id="{60259655-ECA0-5849-AC65-6B31E57C7709}"/>
            </a:ext>
          </a:extLst>
        </xdr:cNvPr>
        <xdr:cNvSpPr/>
      </xdr:nvSpPr>
      <xdr:spPr>
        <a:xfrm>
          <a:off x="11812868" y="280147"/>
          <a:ext cx="2137709" cy="914400"/>
        </a:xfrm>
        <a:prstGeom prst="rect">
          <a:avLst/>
        </a:prstGeom>
        <a:solidFill>
          <a:schemeClr val="tx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Assignment View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9203</xdr:colOff>
      <xdr:row>0</xdr:row>
      <xdr:rowOff>276086</xdr:rowOff>
    </xdr:from>
    <xdr:to>
      <xdr:col>11</xdr:col>
      <xdr:colOff>131477</xdr:colOff>
      <xdr:row>5</xdr:row>
      <xdr:rowOff>141356</xdr:rowOff>
    </xdr:to>
    <xdr:sp macro="[0]!BacktoExamsView" textlink="">
      <xdr:nvSpPr>
        <xdr:cNvPr id="2" name="Rectangle 1">
          <a:extLst>
            <a:ext uri="{FF2B5EF4-FFF2-40B4-BE49-F238E27FC236}">
              <a16:creationId xmlns:a16="http://schemas.microsoft.com/office/drawing/2014/main" id="{1F5EBD14-2ED2-8947-A7C9-320382663A85}"/>
            </a:ext>
          </a:extLst>
        </xdr:cNvPr>
        <xdr:cNvSpPr/>
      </xdr:nvSpPr>
      <xdr:spPr>
        <a:xfrm>
          <a:off x="8733551" y="276086"/>
          <a:ext cx="2137709" cy="914400"/>
        </a:xfrm>
        <a:prstGeom prst="rect">
          <a:avLst/>
        </a:prstGeom>
        <a:solidFill>
          <a:schemeClr val="tx2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Exams View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50"/>
  <sheetViews>
    <sheetView zoomScaleNormal="100" workbookViewId="0">
      <selection activeCell="AE6" sqref="AE6"/>
    </sheetView>
  </sheetViews>
  <sheetFormatPr baseColWidth="10" defaultColWidth="8.83203125" defaultRowHeight="19" customHeight="1" x14ac:dyDescent="0.3"/>
  <cols>
    <col min="1" max="1" width="36.33203125" style="33" customWidth="1"/>
    <col min="2" max="2" width="25.83203125" style="33" customWidth="1"/>
    <col min="3" max="3" width="23.5" style="33" customWidth="1"/>
    <col min="4" max="4" width="18.83203125" style="33" customWidth="1"/>
    <col min="5" max="5" width="17.33203125" style="33" customWidth="1"/>
    <col min="6" max="6" width="31.5" style="33" customWidth="1"/>
    <col min="7" max="7" width="26.1640625" style="33" customWidth="1"/>
    <col min="8" max="8" width="11.6640625" style="33" customWidth="1"/>
    <col min="9" max="11" width="10.1640625" style="33" customWidth="1"/>
    <col min="12" max="12" width="39.5" style="33" customWidth="1"/>
    <col min="13" max="13" width="20.33203125" style="33" bestFit="1" customWidth="1"/>
    <col min="14" max="14" width="17.1640625" style="33" bestFit="1" customWidth="1"/>
    <col min="15" max="15" width="14.33203125" style="33" bestFit="1" customWidth="1"/>
    <col min="16" max="16" width="12.6640625" style="33" bestFit="1" customWidth="1"/>
    <col min="17" max="17" width="27.5" style="33" bestFit="1" customWidth="1"/>
    <col min="18" max="18" width="22.1640625" style="33" bestFit="1" customWidth="1"/>
    <col min="19" max="19" width="12.1640625" style="33" bestFit="1" customWidth="1"/>
    <col min="20" max="20" width="6.33203125" style="33" customWidth="1"/>
    <col min="21" max="21" width="11.5" style="33" customWidth="1"/>
    <col min="22" max="22" width="44" style="33" bestFit="1" customWidth="1"/>
    <col min="23" max="23" width="11.5" style="33" bestFit="1" customWidth="1"/>
    <col min="24" max="24" width="19.1640625" style="33" bestFit="1" customWidth="1"/>
    <col min="25" max="25" width="14" style="33" customWidth="1"/>
    <col min="26" max="26" width="17.33203125" style="33" customWidth="1"/>
    <col min="27" max="27" width="27" style="33" bestFit="1" customWidth="1"/>
    <col min="28" max="28" width="12.6640625" style="33" bestFit="1" customWidth="1"/>
    <col min="29" max="29" width="20" style="33" customWidth="1"/>
    <col min="30" max="30" width="40.1640625" style="33" bestFit="1" customWidth="1"/>
    <col min="31" max="31" width="13.83203125" style="33" bestFit="1" customWidth="1"/>
    <col min="32" max="32" width="28" style="33" customWidth="1"/>
    <col min="33" max="33" width="16" style="33" customWidth="1"/>
    <col min="34" max="16384" width="8.83203125" style="33"/>
  </cols>
  <sheetData>
    <row r="1" spans="1:33" ht="30" customHeight="1" x14ac:dyDescent="0.3">
      <c r="A1" s="42" t="s">
        <v>0</v>
      </c>
      <c r="B1" s="42"/>
      <c r="C1" s="42"/>
      <c r="D1" s="42"/>
      <c r="E1" s="42"/>
      <c r="F1" s="42"/>
      <c r="G1" s="42"/>
      <c r="H1" s="42"/>
    </row>
    <row r="3" spans="1:33" ht="26" customHeight="1" x14ac:dyDescent="0.3">
      <c r="A3" s="42" t="s">
        <v>1</v>
      </c>
      <c r="B3" s="42"/>
      <c r="C3" s="42"/>
      <c r="D3" s="42"/>
      <c r="E3" s="42"/>
      <c r="F3" s="42"/>
      <c r="G3" s="42"/>
      <c r="H3" s="42"/>
      <c r="I3" s="34"/>
      <c r="J3" s="34"/>
      <c r="K3" s="34"/>
      <c r="L3" s="43" t="s">
        <v>2</v>
      </c>
      <c r="M3" s="43"/>
      <c r="N3" s="43"/>
      <c r="O3" s="43"/>
      <c r="P3" s="43"/>
      <c r="Q3" s="43"/>
      <c r="R3" s="43"/>
      <c r="S3" s="43"/>
      <c r="V3" s="43" t="s">
        <v>3</v>
      </c>
      <c r="W3" s="43"/>
      <c r="X3" s="43"/>
      <c r="Y3" s="35"/>
      <c r="Z3" s="35"/>
      <c r="AA3" s="42" t="s">
        <v>4</v>
      </c>
      <c r="AB3" s="42"/>
      <c r="AC3" s="35"/>
      <c r="AD3" s="42" t="s">
        <v>5</v>
      </c>
      <c r="AE3" s="42"/>
    </row>
    <row r="4" spans="1:33" ht="24" customHeight="1" x14ac:dyDescent="0.3">
      <c r="A4" s="36" t="s">
        <v>6</v>
      </c>
      <c r="B4" s="36" t="s">
        <v>7</v>
      </c>
      <c r="C4" s="36" t="s">
        <v>8</v>
      </c>
      <c r="D4" s="36" t="s">
        <v>9</v>
      </c>
      <c r="E4" s="36" t="s">
        <v>10</v>
      </c>
      <c r="F4" s="36" t="s">
        <v>11</v>
      </c>
      <c r="G4" s="36" t="s">
        <v>12</v>
      </c>
      <c r="H4" s="36" t="s">
        <v>13</v>
      </c>
      <c r="J4" s="37"/>
      <c r="K4" s="37"/>
      <c r="L4" s="36" t="s">
        <v>6</v>
      </c>
      <c r="M4" s="36" t="s">
        <v>7</v>
      </c>
      <c r="N4" s="36" t="s">
        <v>8</v>
      </c>
      <c r="O4" s="36" t="s">
        <v>9</v>
      </c>
      <c r="P4" s="36" t="s">
        <v>10</v>
      </c>
      <c r="Q4" s="36" t="s">
        <v>11</v>
      </c>
      <c r="R4" s="36" t="s">
        <v>12</v>
      </c>
      <c r="S4" s="36" t="s">
        <v>13</v>
      </c>
      <c r="V4" s="36" t="s">
        <v>6</v>
      </c>
      <c r="W4" s="36" t="s">
        <v>14</v>
      </c>
      <c r="X4" s="36" t="s">
        <v>15</v>
      </c>
      <c r="AA4" s="36" t="s">
        <v>16</v>
      </c>
      <c r="AB4" s="36" t="s">
        <v>10</v>
      </c>
      <c r="AD4" s="36" t="s">
        <v>17</v>
      </c>
      <c r="AE4" s="36" t="s">
        <v>18</v>
      </c>
    </row>
    <row r="5" spans="1:33" ht="24" customHeight="1" x14ac:dyDescent="0.3">
      <c r="A5" s="40" t="str" cm="1">
        <f t="array" aca="1" ref="A5" ca="1">IFERROR(_xlfn._xlws.FILTER(Assignments!A2:H1000,(Assignments!B2:B1000&lt;&gt;"")*(Assignments!C2:C1000&gt;=TODAY())*(Assignments!C2:C1000&lt;=TODAY()+7)*(Assignments!E2:E1000&lt;&gt;"Done")),"Nothing due this week")</f>
        <v>Nothing due this week</v>
      </c>
      <c r="B5" s="30"/>
      <c r="C5" s="31"/>
      <c r="D5" s="30"/>
      <c r="E5" s="30"/>
      <c r="F5" s="30"/>
      <c r="G5" s="30"/>
      <c r="H5" s="30"/>
      <c r="J5" s="38"/>
      <c r="L5" s="40" t="str" cm="1">
        <f t="array" aca="1" ref="L5" ca="1">IFERROR(_xlfn._xlws.FILTER(Assignments!A2:H1000,(Assignments!B2:B1000&lt;&gt;"")*(Assignments!C2:C1000&lt;TODAY())*(Assignments!E2:E1000&lt;&gt;"Done")),"No overdue assignments")</f>
        <v>No overdue assignments</v>
      </c>
      <c r="M5" s="30"/>
      <c r="N5" s="31"/>
      <c r="O5" s="30"/>
      <c r="P5" s="30"/>
      <c r="Q5" s="30"/>
      <c r="R5" s="30"/>
      <c r="S5" s="30"/>
      <c r="V5" s="41" t="str" cm="1">
        <f t="array" aca="1" ref="V5" ca="1">IFERROR(_xlfn._xlws.SORT(_xlfn._xlws.FILTER(Exams!A2:C1000,(Exams!B2:B1000&lt;&gt;"")*(Exams!C2:C1000&gt;=TODAY())*(Exams!C2:C1000&lt;=TODAY()+14)),3,1),"No exams in the next 2 weeks")</f>
        <v>No exams in the next 2 weeks</v>
      </c>
      <c r="W5" s="30"/>
      <c r="X5" s="30"/>
      <c r="Z5" s="38"/>
      <c r="AA5" s="40" t="str" cm="1">
        <f t="array" ref="AA5">IFERROR(_xlfn._xlws.FILTER(Projects!A2:B1000,(Projects!A2:A1000&lt;&gt;"")*(Projects!B2:B1000&lt;&gt;"Done")),"No active projects")</f>
        <v>No active projects</v>
      </c>
      <c r="AB5" s="30"/>
      <c r="AD5" s="40" t="str" cm="1">
        <f t="array" ref="AD5">IFERROR(_xlfn._xlws.FILTER(Books!A2:B1000,(Books!A2:A1000&lt;&gt;"")*(Books!C2:C1000="Reading")),"No books currently reading")</f>
        <v>No books currently reading</v>
      </c>
      <c r="AE5" s="30"/>
      <c r="AF5" s="39"/>
    </row>
    <row r="6" spans="1:33" ht="19" customHeight="1" x14ac:dyDescent="0.3">
      <c r="A6" s="16"/>
      <c r="B6" s="16"/>
      <c r="C6" s="16"/>
      <c r="D6" s="16"/>
      <c r="E6" s="16"/>
      <c r="F6" s="16"/>
      <c r="G6" s="16"/>
      <c r="H6" s="16"/>
      <c r="L6" s="16"/>
      <c r="M6" s="16"/>
      <c r="N6" s="16"/>
      <c r="O6" s="16"/>
      <c r="P6" s="16"/>
      <c r="Q6" s="16"/>
      <c r="R6" s="16"/>
      <c r="S6" s="16"/>
      <c r="V6" s="16"/>
      <c r="W6" s="16"/>
      <c r="X6" s="16"/>
      <c r="AA6" s="16"/>
      <c r="AB6" s="16"/>
      <c r="AD6" s="16"/>
      <c r="AE6" s="16"/>
    </row>
    <row r="7" spans="1:33" ht="19" customHeight="1" x14ac:dyDescent="0.3">
      <c r="A7" s="30"/>
      <c r="B7" s="30"/>
      <c r="C7" s="30"/>
      <c r="D7" s="30"/>
      <c r="E7" s="30"/>
      <c r="F7" s="30"/>
      <c r="G7" s="30"/>
      <c r="H7" s="30"/>
      <c r="L7" s="30"/>
      <c r="M7" s="30"/>
      <c r="N7" s="30"/>
      <c r="O7" s="30"/>
      <c r="P7" s="30"/>
      <c r="Q7" s="30"/>
      <c r="R7" s="30"/>
      <c r="S7" s="30"/>
      <c r="V7" s="30"/>
      <c r="W7" s="30"/>
      <c r="X7" s="30"/>
      <c r="AA7" s="30"/>
      <c r="AB7" s="30"/>
      <c r="AD7" s="30"/>
      <c r="AE7" s="30"/>
    </row>
    <row r="8" spans="1:33" ht="19" customHeight="1" x14ac:dyDescent="0.3">
      <c r="A8" s="16"/>
      <c r="B8" s="16"/>
      <c r="C8" s="16"/>
      <c r="D8" s="16"/>
      <c r="E8" s="16"/>
      <c r="F8" s="16"/>
      <c r="G8" s="16"/>
      <c r="H8" s="16"/>
      <c r="L8" s="16"/>
      <c r="M8" s="16"/>
      <c r="N8" s="16"/>
      <c r="O8" s="16"/>
      <c r="P8" s="16"/>
      <c r="Q8" s="16"/>
      <c r="R8" s="16"/>
      <c r="S8" s="16"/>
      <c r="V8" s="16"/>
      <c r="W8" s="16"/>
      <c r="X8" s="16"/>
      <c r="Z8" s="34"/>
      <c r="AA8" s="16"/>
      <c r="AB8" s="16"/>
      <c r="AD8" s="16"/>
      <c r="AE8" s="16"/>
      <c r="AF8" s="34"/>
    </row>
    <row r="9" spans="1:33" ht="19" customHeight="1" x14ac:dyDescent="0.3">
      <c r="A9" s="30"/>
      <c r="B9" s="30"/>
      <c r="C9" s="30"/>
      <c r="D9" s="30"/>
      <c r="E9" s="30"/>
      <c r="F9" s="30"/>
      <c r="G9" s="30"/>
      <c r="H9" s="30"/>
      <c r="L9" s="30"/>
      <c r="M9" s="30"/>
      <c r="N9" s="30"/>
      <c r="O9" s="30"/>
      <c r="P9" s="30"/>
      <c r="Q9" s="30"/>
      <c r="R9" s="30"/>
      <c r="S9" s="30"/>
      <c r="T9" s="37"/>
      <c r="U9" s="37"/>
      <c r="V9" s="30"/>
      <c r="W9" s="30"/>
      <c r="X9" s="30"/>
      <c r="Y9" s="37"/>
      <c r="Z9" s="37"/>
      <c r="AA9" s="30"/>
      <c r="AB9" s="30"/>
      <c r="AC9" s="37"/>
      <c r="AD9" s="30"/>
      <c r="AE9" s="30"/>
      <c r="AF9" s="37"/>
      <c r="AG9" s="37"/>
    </row>
    <row r="10" spans="1:33" ht="19" customHeight="1" x14ac:dyDescent="0.3">
      <c r="A10" s="16"/>
      <c r="B10" s="16"/>
      <c r="C10" s="16"/>
      <c r="D10" s="16"/>
      <c r="E10" s="16"/>
      <c r="F10" s="16"/>
      <c r="G10" s="16"/>
      <c r="H10" s="16"/>
      <c r="L10" s="16"/>
      <c r="M10" s="16"/>
      <c r="N10" s="16"/>
      <c r="O10" s="16"/>
      <c r="P10" s="16"/>
      <c r="Q10" s="16"/>
      <c r="R10" s="16"/>
      <c r="S10" s="16"/>
      <c r="V10" s="16"/>
      <c r="W10" s="16"/>
      <c r="X10" s="16"/>
      <c r="AA10" s="16"/>
      <c r="AB10" s="16"/>
      <c r="AD10" s="16"/>
      <c r="AE10" s="16"/>
    </row>
    <row r="11" spans="1:33" ht="19" customHeight="1" x14ac:dyDescent="0.3">
      <c r="A11" s="30"/>
      <c r="B11" s="30"/>
      <c r="C11" s="30"/>
      <c r="D11" s="30"/>
      <c r="E11" s="30"/>
      <c r="F11" s="30"/>
      <c r="G11" s="30"/>
      <c r="H11" s="30"/>
      <c r="L11" s="30"/>
      <c r="M11" s="30"/>
      <c r="N11" s="30"/>
      <c r="O11" s="30"/>
      <c r="P11" s="30"/>
      <c r="Q11" s="30"/>
      <c r="R11" s="30"/>
      <c r="S11" s="30"/>
      <c r="V11" s="30"/>
      <c r="W11" s="30"/>
      <c r="X11" s="30"/>
      <c r="AA11" s="30"/>
      <c r="AB11" s="30"/>
      <c r="AD11" s="30"/>
      <c r="AE11" s="30"/>
    </row>
    <row r="12" spans="1:33" ht="19" customHeight="1" x14ac:dyDescent="0.3">
      <c r="A12" s="16"/>
      <c r="B12" s="16"/>
      <c r="C12" s="16"/>
      <c r="D12" s="16"/>
      <c r="E12" s="16"/>
      <c r="F12" s="16"/>
      <c r="G12" s="16"/>
      <c r="H12" s="16"/>
      <c r="L12" s="16"/>
      <c r="M12" s="16"/>
      <c r="N12" s="16"/>
      <c r="O12" s="16"/>
      <c r="P12" s="16"/>
      <c r="Q12" s="16"/>
      <c r="R12" s="16"/>
      <c r="S12" s="16"/>
      <c r="V12" s="16"/>
      <c r="W12" s="16"/>
      <c r="X12" s="16"/>
      <c r="AA12" s="16"/>
      <c r="AB12" s="16"/>
      <c r="AD12" s="16"/>
      <c r="AE12" s="16"/>
    </row>
    <row r="13" spans="1:33" ht="19" customHeight="1" x14ac:dyDescent="0.3">
      <c r="A13" s="30"/>
      <c r="B13" s="30"/>
      <c r="C13" s="30"/>
      <c r="D13" s="30"/>
      <c r="E13" s="30"/>
      <c r="F13" s="30"/>
      <c r="G13" s="30"/>
      <c r="H13" s="30"/>
      <c r="L13" s="30"/>
      <c r="M13" s="30"/>
      <c r="N13" s="30"/>
      <c r="O13" s="30"/>
      <c r="P13" s="30"/>
      <c r="Q13" s="30"/>
      <c r="R13" s="30"/>
      <c r="S13" s="30"/>
      <c r="V13" s="30"/>
      <c r="W13" s="30"/>
      <c r="X13" s="30"/>
      <c r="AA13" s="30"/>
      <c r="AB13" s="30"/>
      <c r="AD13" s="30"/>
      <c r="AE13" s="30"/>
    </row>
    <row r="14" spans="1:33" ht="22" customHeight="1" x14ac:dyDescent="0.3">
      <c r="A14" s="16"/>
      <c r="B14" s="16"/>
      <c r="C14" s="16"/>
      <c r="D14" s="16"/>
      <c r="E14" s="16"/>
      <c r="F14" s="16"/>
      <c r="G14" s="16"/>
      <c r="H14" s="16"/>
      <c r="L14" s="16"/>
      <c r="M14" s="16"/>
      <c r="N14" s="16"/>
      <c r="O14" s="16"/>
      <c r="P14" s="16"/>
      <c r="Q14" s="16"/>
      <c r="R14" s="16"/>
      <c r="S14" s="16"/>
      <c r="V14" s="16"/>
      <c r="W14" s="16"/>
      <c r="X14" s="16"/>
      <c r="AA14" s="16"/>
      <c r="AB14" s="16"/>
      <c r="AD14" s="16"/>
      <c r="AE14" s="16"/>
    </row>
    <row r="15" spans="1:33" ht="19" customHeight="1" x14ac:dyDescent="0.3">
      <c r="A15" s="30"/>
      <c r="B15" s="30"/>
      <c r="C15" s="30"/>
      <c r="D15" s="30"/>
      <c r="E15" s="30"/>
      <c r="F15" s="30"/>
      <c r="G15" s="30"/>
      <c r="H15" s="30"/>
      <c r="L15" s="30"/>
      <c r="M15" s="30"/>
      <c r="N15" s="30"/>
      <c r="O15" s="30"/>
      <c r="P15" s="30"/>
      <c r="Q15" s="30"/>
      <c r="R15" s="30"/>
      <c r="S15" s="30"/>
      <c r="V15" s="30"/>
      <c r="W15" s="30"/>
      <c r="X15" s="30"/>
      <c r="AA15" s="30"/>
      <c r="AB15" s="30"/>
      <c r="AD15" s="30"/>
      <c r="AE15" s="30"/>
    </row>
    <row r="16" spans="1:33" ht="19" customHeight="1" x14ac:dyDescent="0.3">
      <c r="A16" s="16"/>
      <c r="B16" s="16"/>
      <c r="C16" s="16"/>
      <c r="D16" s="16"/>
      <c r="E16" s="16"/>
      <c r="F16" s="16"/>
      <c r="G16" s="16"/>
      <c r="H16" s="16"/>
      <c r="L16" s="16"/>
      <c r="M16" s="16"/>
      <c r="N16" s="16"/>
      <c r="O16" s="16"/>
      <c r="P16" s="16"/>
      <c r="Q16" s="16"/>
      <c r="R16" s="16"/>
      <c r="S16" s="16"/>
      <c r="V16" s="16"/>
      <c r="W16" s="16"/>
      <c r="X16" s="16"/>
      <c r="AA16" s="16"/>
      <c r="AB16" s="16"/>
      <c r="AD16" s="16"/>
      <c r="AE16" s="16"/>
    </row>
    <row r="17" spans="1:31" ht="19" customHeight="1" x14ac:dyDescent="0.3">
      <c r="A17" s="30"/>
      <c r="B17" s="30"/>
      <c r="C17" s="30"/>
      <c r="D17" s="30"/>
      <c r="E17" s="30"/>
      <c r="F17" s="30"/>
      <c r="G17" s="30"/>
      <c r="H17" s="30"/>
      <c r="L17" s="30"/>
      <c r="M17" s="30"/>
      <c r="N17" s="30"/>
      <c r="O17" s="30"/>
      <c r="P17" s="30"/>
      <c r="Q17" s="30"/>
      <c r="R17" s="30"/>
      <c r="S17" s="30"/>
      <c r="V17" s="30"/>
      <c r="W17" s="30"/>
      <c r="X17" s="30"/>
      <c r="AA17" s="30"/>
      <c r="AB17" s="30"/>
      <c r="AD17" s="30"/>
      <c r="AE17" s="30"/>
    </row>
    <row r="18" spans="1:31" ht="19" customHeight="1" x14ac:dyDescent="0.3">
      <c r="A18" s="16"/>
      <c r="B18" s="16"/>
      <c r="C18" s="16"/>
      <c r="D18" s="16"/>
      <c r="E18" s="16"/>
      <c r="F18" s="16"/>
      <c r="G18" s="16"/>
      <c r="H18" s="16"/>
      <c r="L18" s="16"/>
      <c r="M18" s="16"/>
      <c r="N18" s="16"/>
      <c r="O18" s="16"/>
      <c r="P18" s="16"/>
      <c r="Q18" s="16"/>
      <c r="R18" s="16"/>
      <c r="S18" s="16"/>
      <c r="V18" s="16"/>
      <c r="W18" s="16"/>
      <c r="X18" s="16"/>
      <c r="AA18" s="16"/>
      <c r="AB18" s="16"/>
      <c r="AD18" s="16"/>
      <c r="AE18" s="16"/>
    </row>
    <row r="19" spans="1:31" ht="19" customHeight="1" x14ac:dyDescent="0.3">
      <c r="A19" s="30"/>
      <c r="B19" s="30"/>
      <c r="C19" s="30"/>
      <c r="D19" s="30"/>
      <c r="E19" s="30"/>
      <c r="F19" s="30"/>
      <c r="G19" s="30"/>
      <c r="H19" s="30"/>
      <c r="L19" s="30"/>
      <c r="M19" s="30"/>
      <c r="N19" s="30"/>
      <c r="O19" s="30"/>
      <c r="P19" s="30"/>
      <c r="Q19" s="30"/>
      <c r="R19" s="30"/>
      <c r="S19" s="30"/>
      <c r="V19" s="30"/>
      <c r="W19" s="30"/>
      <c r="X19" s="30"/>
      <c r="AA19" s="30"/>
      <c r="AB19" s="30"/>
      <c r="AD19" s="30"/>
      <c r="AE19" s="30"/>
    </row>
    <row r="20" spans="1:31" ht="19" customHeight="1" x14ac:dyDescent="0.3">
      <c r="A20" s="16"/>
      <c r="B20" s="16"/>
      <c r="C20" s="16"/>
      <c r="D20" s="16"/>
      <c r="E20" s="16"/>
      <c r="F20" s="16"/>
      <c r="G20" s="16"/>
      <c r="H20" s="16"/>
      <c r="L20" s="16"/>
      <c r="M20" s="16"/>
      <c r="N20" s="16"/>
      <c r="O20" s="16"/>
      <c r="P20" s="16"/>
      <c r="Q20" s="16"/>
      <c r="R20" s="16"/>
      <c r="S20" s="16"/>
      <c r="V20" s="16"/>
      <c r="W20" s="16"/>
      <c r="X20" s="16"/>
      <c r="AA20" s="16"/>
      <c r="AB20" s="16"/>
      <c r="AD20" s="16"/>
      <c r="AE20" s="16"/>
    </row>
    <row r="21" spans="1:31" ht="19" customHeight="1" x14ac:dyDescent="0.3">
      <c r="A21" s="30"/>
      <c r="B21" s="30"/>
      <c r="C21" s="30"/>
      <c r="D21" s="30"/>
      <c r="E21" s="30"/>
      <c r="F21" s="30"/>
      <c r="G21" s="30"/>
      <c r="H21" s="30"/>
      <c r="L21" s="30"/>
      <c r="M21" s="30"/>
      <c r="N21" s="30"/>
      <c r="O21" s="30"/>
      <c r="P21" s="30"/>
      <c r="Q21" s="30"/>
      <c r="R21" s="30"/>
      <c r="S21" s="30"/>
      <c r="V21" s="30"/>
      <c r="W21" s="30"/>
      <c r="X21" s="30"/>
      <c r="AA21" s="30"/>
      <c r="AB21" s="30"/>
      <c r="AD21" s="30"/>
      <c r="AE21" s="30"/>
    </row>
    <row r="22" spans="1:31" ht="19" customHeight="1" x14ac:dyDescent="0.3">
      <c r="A22" s="16"/>
      <c r="B22" s="16"/>
      <c r="C22" s="16"/>
      <c r="D22" s="16"/>
      <c r="E22" s="16"/>
      <c r="F22" s="16"/>
      <c r="G22" s="16"/>
      <c r="H22" s="16"/>
      <c r="L22" s="16"/>
      <c r="M22" s="16"/>
      <c r="N22" s="16"/>
      <c r="O22" s="16"/>
      <c r="P22" s="16"/>
      <c r="Q22" s="16"/>
      <c r="R22" s="16"/>
      <c r="S22" s="16"/>
      <c r="V22" s="16"/>
      <c r="W22" s="16"/>
      <c r="X22" s="16"/>
      <c r="AA22" s="16"/>
      <c r="AB22" s="16"/>
      <c r="AD22" s="16"/>
      <c r="AE22" s="16"/>
    </row>
    <row r="23" spans="1:31" ht="19" customHeight="1" x14ac:dyDescent="0.3">
      <c r="A23" s="30"/>
      <c r="B23" s="30"/>
      <c r="C23" s="30"/>
      <c r="D23" s="30"/>
      <c r="E23" s="30"/>
      <c r="F23" s="30"/>
      <c r="G23" s="30"/>
      <c r="H23" s="30"/>
      <c r="L23" s="30"/>
      <c r="M23" s="30"/>
      <c r="N23" s="30"/>
      <c r="O23" s="30"/>
      <c r="P23" s="30"/>
      <c r="Q23" s="30"/>
      <c r="R23" s="30"/>
      <c r="S23" s="30"/>
      <c r="V23" s="30"/>
      <c r="W23" s="30"/>
      <c r="X23" s="30"/>
      <c r="AA23" s="30"/>
      <c r="AB23" s="30"/>
      <c r="AD23" s="30"/>
      <c r="AE23" s="30"/>
    </row>
    <row r="24" spans="1:31" ht="19" customHeight="1" x14ac:dyDescent="0.3">
      <c r="A24" s="16"/>
      <c r="B24" s="16"/>
      <c r="C24" s="16"/>
      <c r="D24" s="16"/>
      <c r="E24" s="16"/>
      <c r="F24" s="16"/>
      <c r="G24" s="16"/>
      <c r="H24" s="16"/>
      <c r="L24" s="16"/>
      <c r="M24" s="16"/>
      <c r="N24" s="16"/>
      <c r="O24" s="16"/>
      <c r="P24" s="16"/>
      <c r="Q24" s="16"/>
      <c r="R24" s="16"/>
      <c r="S24" s="16"/>
      <c r="V24" s="16"/>
      <c r="W24" s="16"/>
      <c r="X24" s="16"/>
      <c r="AA24" s="16"/>
      <c r="AB24" s="16"/>
      <c r="AD24" s="16"/>
      <c r="AE24" s="16"/>
    </row>
    <row r="25" spans="1:31" ht="19" customHeight="1" x14ac:dyDescent="0.3">
      <c r="A25" s="30"/>
      <c r="B25" s="30"/>
      <c r="C25" s="30"/>
      <c r="D25" s="30"/>
      <c r="E25" s="30"/>
      <c r="F25" s="30"/>
      <c r="G25" s="30"/>
      <c r="H25" s="30"/>
      <c r="L25" s="30"/>
      <c r="M25" s="30"/>
      <c r="N25" s="30"/>
      <c r="O25" s="30"/>
      <c r="P25" s="30"/>
      <c r="Q25" s="30"/>
      <c r="R25" s="30"/>
      <c r="S25" s="30"/>
      <c r="V25" s="30"/>
      <c r="W25" s="30"/>
      <c r="X25" s="30"/>
      <c r="AA25" s="30"/>
      <c r="AB25" s="30"/>
      <c r="AD25" s="30"/>
      <c r="AE25" s="30"/>
    </row>
    <row r="26" spans="1:31" ht="19" customHeight="1" x14ac:dyDescent="0.3">
      <c r="A26" s="16"/>
      <c r="B26" s="16"/>
      <c r="C26" s="16"/>
      <c r="D26" s="16"/>
      <c r="E26" s="16"/>
      <c r="F26" s="16"/>
      <c r="G26" s="16"/>
      <c r="H26" s="16"/>
      <c r="L26" s="16"/>
      <c r="M26" s="16"/>
      <c r="N26" s="16"/>
      <c r="O26" s="16"/>
      <c r="P26" s="16"/>
      <c r="Q26" s="16"/>
      <c r="R26" s="16"/>
      <c r="S26" s="16"/>
      <c r="V26" s="16"/>
      <c r="W26" s="16"/>
      <c r="X26" s="16"/>
      <c r="AA26" s="16"/>
      <c r="AB26" s="16"/>
      <c r="AD26" s="16"/>
      <c r="AE26" s="16"/>
    </row>
    <row r="27" spans="1:31" ht="19" customHeight="1" x14ac:dyDescent="0.3">
      <c r="A27" s="30"/>
      <c r="B27" s="30"/>
      <c r="C27" s="30"/>
      <c r="D27" s="30"/>
      <c r="E27" s="30"/>
      <c r="F27" s="30"/>
      <c r="G27" s="30"/>
      <c r="H27" s="30"/>
      <c r="L27" s="30"/>
      <c r="M27" s="30"/>
      <c r="N27" s="30"/>
      <c r="O27" s="30"/>
      <c r="P27" s="30"/>
      <c r="Q27" s="30"/>
      <c r="R27" s="30"/>
      <c r="S27" s="30"/>
      <c r="V27" s="30"/>
      <c r="W27" s="30"/>
      <c r="X27" s="30"/>
      <c r="AA27" s="30"/>
      <c r="AB27" s="30"/>
      <c r="AD27" s="30"/>
      <c r="AE27" s="30"/>
    </row>
    <row r="28" spans="1:31" ht="19" customHeight="1" x14ac:dyDescent="0.3">
      <c r="A28" s="16"/>
      <c r="B28" s="16"/>
      <c r="C28" s="16"/>
      <c r="D28" s="16"/>
      <c r="E28" s="16"/>
      <c r="F28" s="16"/>
      <c r="G28" s="16"/>
      <c r="H28" s="16"/>
      <c r="L28" s="16"/>
      <c r="M28" s="16"/>
      <c r="N28" s="16"/>
      <c r="O28" s="16"/>
      <c r="P28" s="16"/>
      <c r="Q28" s="16"/>
      <c r="R28" s="16"/>
      <c r="S28" s="16"/>
      <c r="V28" s="16"/>
      <c r="W28" s="16"/>
      <c r="X28" s="16"/>
      <c r="AA28" s="16"/>
      <c r="AB28" s="16"/>
      <c r="AD28" s="16"/>
      <c r="AE28" s="16"/>
    </row>
    <row r="29" spans="1:31" ht="19" customHeight="1" x14ac:dyDescent="0.3">
      <c r="A29" s="30"/>
      <c r="B29" s="30"/>
      <c r="C29" s="30"/>
      <c r="D29" s="30"/>
      <c r="E29" s="30"/>
      <c r="F29" s="30"/>
      <c r="G29" s="30"/>
      <c r="H29" s="30"/>
      <c r="L29" s="30"/>
      <c r="M29" s="30"/>
      <c r="N29" s="30"/>
      <c r="O29" s="30"/>
      <c r="P29" s="30"/>
      <c r="Q29" s="30"/>
      <c r="R29" s="30"/>
      <c r="S29" s="30"/>
      <c r="V29" s="30"/>
      <c r="W29" s="30"/>
      <c r="X29" s="30"/>
      <c r="AA29" s="30"/>
      <c r="AB29" s="30"/>
      <c r="AD29" s="30"/>
      <c r="AE29" s="30"/>
    </row>
    <row r="30" spans="1:31" ht="19" customHeight="1" x14ac:dyDescent="0.3">
      <c r="A30" s="16"/>
      <c r="B30" s="16"/>
      <c r="C30" s="16"/>
      <c r="D30" s="16"/>
      <c r="E30" s="16"/>
      <c r="F30" s="16"/>
      <c r="G30" s="16"/>
      <c r="H30" s="16"/>
      <c r="L30" s="16"/>
      <c r="M30" s="16"/>
      <c r="N30" s="16"/>
      <c r="O30" s="16"/>
      <c r="P30" s="16"/>
      <c r="Q30" s="16"/>
      <c r="R30" s="16"/>
      <c r="S30" s="16"/>
      <c r="V30" s="16"/>
      <c r="W30" s="16"/>
      <c r="X30" s="16"/>
      <c r="AA30" s="16"/>
      <c r="AB30" s="16"/>
      <c r="AD30" s="16"/>
      <c r="AE30" s="16"/>
    </row>
    <row r="31" spans="1:31" ht="19" customHeight="1" x14ac:dyDescent="0.3">
      <c r="A31" s="30"/>
      <c r="B31" s="30"/>
      <c r="C31" s="30"/>
      <c r="D31" s="30"/>
      <c r="E31" s="30"/>
      <c r="F31" s="30"/>
      <c r="G31" s="30"/>
      <c r="H31" s="30"/>
      <c r="L31" s="30"/>
      <c r="M31" s="30"/>
      <c r="N31" s="30"/>
      <c r="O31" s="30"/>
      <c r="P31" s="30"/>
      <c r="Q31" s="30"/>
      <c r="R31" s="30"/>
      <c r="S31" s="30"/>
      <c r="V31" s="30"/>
      <c r="W31" s="30"/>
      <c r="X31" s="30"/>
      <c r="AA31" s="30"/>
      <c r="AB31" s="30"/>
      <c r="AD31" s="30"/>
      <c r="AE31" s="30"/>
    </row>
    <row r="32" spans="1:31" ht="19" customHeight="1" x14ac:dyDescent="0.3">
      <c r="A32" s="16"/>
      <c r="B32" s="16"/>
      <c r="C32" s="16"/>
      <c r="D32" s="16"/>
      <c r="E32" s="16"/>
      <c r="F32" s="16"/>
      <c r="G32" s="16"/>
      <c r="H32" s="16"/>
      <c r="L32" s="16"/>
      <c r="M32" s="16"/>
      <c r="N32" s="16"/>
      <c r="O32" s="16"/>
      <c r="P32" s="16"/>
      <c r="Q32" s="16"/>
      <c r="R32" s="16"/>
      <c r="S32" s="16"/>
      <c r="V32" s="16"/>
      <c r="W32" s="16"/>
      <c r="X32" s="16"/>
      <c r="AA32" s="16"/>
      <c r="AB32" s="16"/>
      <c r="AD32" s="16"/>
      <c r="AE32" s="16"/>
    </row>
    <row r="33" spans="1:31" ht="19" customHeight="1" x14ac:dyDescent="0.3">
      <c r="A33" s="30"/>
      <c r="B33" s="30"/>
      <c r="C33" s="30"/>
      <c r="D33" s="30"/>
      <c r="E33" s="30"/>
      <c r="F33" s="30"/>
      <c r="G33" s="30"/>
      <c r="H33" s="30"/>
      <c r="L33" s="30"/>
      <c r="M33" s="30"/>
      <c r="N33" s="30"/>
      <c r="O33" s="30"/>
      <c r="P33" s="30"/>
      <c r="Q33" s="30"/>
      <c r="R33" s="30"/>
      <c r="S33" s="30"/>
      <c r="V33" s="30"/>
      <c r="W33" s="30"/>
      <c r="X33" s="30"/>
      <c r="AA33" s="30"/>
      <c r="AB33" s="30"/>
      <c r="AD33" s="30"/>
      <c r="AE33" s="30"/>
    </row>
    <row r="34" spans="1:31" ht="19" customHeight="1" x14ac:dyDescent="0.3">
      <c r="A34" s="16"/>
      <c r="B34" s="16"/>
      <c r="C34" s="16"/>
      <c r="D34" s="16"/>
      <c r="E34" s="16"/>
      <c r="F34" s="16"/>
      <c r="G34" s="16"/>
      <c r="H34" s="16"/>
      <c r="L34" s="16"/>
      <c r="M34" s="16"/>
      <c r="N34" s="16"/>
      <c r="O34" s="16"/>
      <c r="P34" s="16"/>
      <c r="Q34" s="16"/>
      <c r="R34" s="16"/>
      <c r="S34" s="16"/>
      <c r="V34" s="16"/>
      <c r="W34" s="16"/>
      <c r="X34" s="16"/>
      <c r="AA34" s="16"/>
      <c r="AB34" s="16"/>
      <c r="AD34" s="16"/>
      <c r="AE34" s="16"/>
    </row>
    <row r="35" spans="1:31" ht="19" customHeight="1" x14ac:dyDescent="0.3">
      <c r="A35" s="30"/>
      <c r="B35" s="30"/>
      <c r="C35" s="30"/>
      <c r="D35" s="30"/>
      <c r="E35" s="30"/>
      <c r="F35" s="30"/>
      <c r="G35" s="30"/>
      <c r="H35" s="30"/>
      <c r="L35" s="30"/>
      <c r="M35" s="30"/>
      <c r="N35" s="30"/>
      <c r="O35" s="30"/>
      <c r="P35" s="30"/>
      <c r="Q35" s="30"/>
      <c r="R35" s="30"/>
      <c r="S35" s="30"/>
      <c r="V35" s="30"/>
      <c r="W35" s="30"/>
      <c r="X35" s="30"/>
      <c r="AA35" s="30"/>
      <c r="AB35" s="30"/>
      <c r="AD35" s="30"/>
      <c r="AE35" s="30"/>
    </row>
    <row r="36" spans="1:31" ht="19" customHeight="1" x14ac:dyDescent="0.3">
      <c r="A36" s="16"/>
      <c r="B36" s="16"/>
      <c r="C36" s="16"/>
      <c r="D36" s="16"/>
      <c r="E36" s="16"/>
      <c r="F36" s="16"/>
      <c r="G36" s="16"/>
      <c r="H36" s="16"/>
      <c r="L36" s="16"/>
      <c r="M36" s="16"/>
      <c r="N36" s="16"/>
      <c r="O36" s="16"/>
      <c r="P36" s="16"/>
      <c r="Q36" s="16"/>
      <c r="R36" s="16"/>
      <c r="S36" s="16"/>
      <c r="V36" s="16"/>
      <c r="W36" s="16"/>
      <c r="X36" s="16"/>
      <c r="AA36" s="16"/>
      <c r="AB36" s="16"/>
      <c r="AD36" s="16"/>
      <c r="AE36" s="16"/>
    </row>
    <row r="37" spans="1:31" ht="19" customHeight="1" x14ac:dyDescent="0.3">
      <c r="A37" s="30"/>
      <c r="B37" s="30"/>
      <c r="C37" s="30"/>
      <c r="D37" s="30"/>
      <c r="E37" s="30"/>
      <c r="F37" s="30"/>
      <c r="G37" s="30"/>
      <c r="H37" s="30"/>
      <c r="L37" s="30"/>
      <c r="M37" s="30"/>
      <c r="N37" s="30"/>
      <c r="O37" s="30"/>
      <c r="P37" s="30"/>
      <c r="Q37" s="30"/>
      <c r="R37" s="30"/>
      <c r="S37" s="30"/>
      <c r="V37" s="30"/>
      <c r="W37" s="30"/>
      <c r="X37" s="30"/>
      <c r="AA37" s="30"/>
      <c r="AB37" s="30"/>
      <c r="AD37" s="30"/>
      <c r="AE37" s="30"/>
    </row>
    <row r="38" spans="1:31" ht="19" customHeight="1" x14ac:dyDescent="0.3">
      <c r="A38" s="16"/>
      <c r="B38" s="16"/>
      <c r="C38" s="16"/>
      <c r="D38" s="16"/>
      <c r="E38" s="16"/>
      <c r="F38" s="16"/>
      <c r="G38" s="16"/>
      <c r="H38" s="16"/>
      <c r="L38" s="16"/>
      <c r="M38" s="16"/>
      <c r="N38" s="16"/>
      <c r="O38" s="16"/>
      <c r="P38" s="16"/>
      <c r="Q38" s="16"/>
      <c r="R38" s="16"/>
      <c r="S38" s="16"/>
      <c r="V38" s="16"/>
      <c r="W38" s="16"/>
      <c r="X38" s="16"/>
      <c r="AA38" s="16"/>
      <c r="AB38" s="16"/>
      <c r="AD38" s="16"/>
      <c r="AE38" s="16"/>
    </row>
    <row r="39" spans="1:31" ht="19" customHeight="1" x14ac:dyDescent="0.3">
      <c r="A39" s="30"/>
      <c r="B39" s="30"/>
      <c r="C39" s="30"/>
      <c r="D39" s="30"/>
      <c r="E39" s="30"/>
      <c r="F39" s="30"/>
      <c r="G39" s="30"/>
      <c r="H39" s="30"/>
      <c r="L39" s="30"/>
      <c r="M39" s="30"/>
      <c r="N39" s="30"/>
      <c r="O39" s="30"/>
      <c r="P39" s="30"/>
      <c r="Q39" s="30"/>
      <c r="R39" s="30"/>
      <c r="S39" s="30"/>
      <c r="V39" s="30"/>
      <c r="W39" s="30"/>
      <c r="X39" s="30"/>
      <c r="AA39" s="30"/>
      <c r="AB39" s="30"/>
      <c r="AD39" s="30"/>
      <c r="AE39" s="30"/>
    </row>
    <row r="40" spans="1:31" ht="19" customHeight="1" x14ac:dyDescent="0.3">
      <c r="A40" s="16"/>
      <c r="B40" s="16"/>
      <c r="C40" s="16"/>
      <c r="D40" s="16"/>
      <c r="E40" s="16"/>
      <c r="F40" s="16"/>
      <c r="G40" s="16"/>
      <c r="H40" s="16"/>
      <c r="L40" s="16"/>
      <c r="M40" s="16"/>
      <c r="N40" s="16"/>
      <c r="O40" s="16"/>
      <c r="P40" s="16"/>
      <c r="Q40" s="16"/>
      <c r="R40" s="16"/>
      <c r="S40" s="16"/>
      <c r="V40" s="16"/>
      <c r="W40" s="16"/>
      <c r="X40" s="16"/>
      <c r="AA40" s="16"/>
      <c r="AB40" s="16"/>
      <c r="AD40" s="16"/>
      <c r="AE40" s="16"/>
    </row>
    <row r="41" spans="1:31" ht="19" customHeight="1" x14ac:dyDescent="0.3">
      <c r="A41" s="30"/>
      <c r="B41" s="30"/>
      <c r="C41" s="30"/>
      <c r="D41" s="30"/>
      <c r="E41" s="30"/>
      <c r="F41" s="30"/>
      <c r="G41" s="30"/>
      <c r="H41" s="30"/>
      <c r="L41" s="30"/>
      <c r="M41" s="30"/>
      <c r="N41" s="30"/>
      <c r="O41" s="30"/>
      <c r="P41" s="30"/>
      <c r="Q41" s="30"/>
      <c r="R41" s="30"/>
      <c r="S41" s="30"/>
      <c r="V41" s="30"/>
      <c r="W41" s="30"/>
      <c r="X41" s="30"/>
      <c r="AA41" s="30"/>
      <c r="AB41" s="30"/>
      <c r="AD41" s="30"/>
      <c r="AE41" s="30"/>
    </row>
    <row r="42" spans="1:31" ht="19" customHeight="1" x14ac:dyDescent="0.3">
      <c r="A42" s="16"/>
      <c r="B42" s="16"/>
      <c r="C42" s="16"/>
      <c r="D42" s="16"/>
      <c r="E42" s="16"/>
      <c r="F42" s="16"/>
      <c r="G42" s="16"/>
      <c r="H42" s="16"/>
      <c r="L42" s="16"/>
      <c r="M42" s="16"/>
      <c r="N42" s="16"/>
      <c r="O42" s="16"/>
      <c r="P42" s="16"/>
      <c r="Q42" s="16"/>
      <c r="R42" s="16"/>
      <c r="S42" s="16"/>
      <c r="V42" s="16"/>
      <c r="W42" s="16"/>
      <c r="X42" s="16"/>
      <c r="AA42" s="16"/>
      <c r="AB42" s="16"/>
      <c r="AD42" s="16"/>
      <c r="AE42" s="16"/>
    </row>
    <row r="43" spans="1:31" ht="19" customHeight="1" x14ac:dyDescent="0.3">
      <c r="A43" s="30"/>
      <c r="B43" s="30"/>
      <c r="C43" s="30"/>
      <c r="D43" s="30"/>
      <c r="E43" s="30"/>
      <c r="F43" s="30"/>
      <c r="G43" s="30"/>
      <c r="H43" s="30"/>
      <c r="L43" s="30"/>
      <c r="M43" s="30"/>
      <c r="N43" s="30"/>
      <c r="O43" s="30"/>
      <c r="P43" s="30"/>
      <c r="Q43" s="30"/>
      <c r="R43" s="30"/>
      <c r="S43" s="30"/>
      <c r="V43" s="30"/>
      <c r="W43" s="30"/>
      <c r="X43" s="30"/>
      <c r="AA43" s="30"/>
      <c r="AB43" s="30"/>
      <c r="AD43" s="30"/>
      <c r="AE43" s="30"/>
    </row>
    <row r="44" spans="1:31" ht="19" customHeight="1" x14ac:dyDescent="0.3">
      <c r="A44" s="16"/>
      <c r="B44" s="16"/>
      <c r="C44" s="16"/>
      <c r="D44" s="16"/>
      <c r="E44" s="16"/>
      <c r="F44" s="16"/>
      <c r="G44" s="16"/>
      <c r="H44" s="16"/>
      <c r="L44" s="16"/>
      <c r="M44" s="16"/>
      <c r="N44" s="16"/>
      <c r="O44" s="16"/>
      <c r="P44" s="16"/>
      <c r="Q44" s="16"/>
      <c r="R44" s="16"/>
      <c r="S44" s="16"/>
      <c r="V44" s="16"/>
      <c r="W44" s="16"/>
      <c r="X44" s="16"/>
      <c r="AA44" s="16"/>
      <c r="AB44" s="16"/>
      <c r="AD44" s="16"/>
      <c r="AE44" s="16"/>
    </row>
    <row r="45" spans="1:31" ht="19" customHeight="1" x14ac:dyDescent="0.3">
      <c r="A45" s="30"/>
      <c r="B45" s="30"/>
      <c r="C45" s="30"/>
      <c r="D45" s="30"/>
      <c r="E45" s="30"/>
      <c r="F45" s="30"/>
      <c r="G45" s="30"/>
      <c r="H45" s="30"/>
      <c r="L45" s="30"/>
      <c r="M45" s="30"/>
      <c r="N45" s="30"/>
      <c r="O45" s="30"/>
      <c r="P45" s="30"/>
      <c r="Q45" s="30"/>
      <c r="R45" s="30"/>
      <c r="S45" s="30"/>
      <c r="V45" s="30"/>
      <c r="W45" s="30"/>
      <c r="X45" s="30"/>
      <c r="AA45" s="30"/>
      <c r="AB45" s="30"/>
      <c r="AD45" s="30"/>
      <c r="AE45" s="30"/>
    </row>
    <row r="46" spans="1:31" ht="19" customHeight="1" x14ac:dyDescent="0.3">
      <c r="A46" s="16"/>
      <c r="B46" s="16"/>
      <c r="C46" s="16"/>
      <c r="D46" s="16"/>
      <c r="E46" s="16"/>
      <c r="F46" s="16"/>
      <c r="G46" s="16"/>
      <c r="H46" s="16"/>
      <c r="L46" s="16"/>
      <c r="M46" s="16"/>
      <c r="N46" s="16"/>
      <c r="O46" s="16"/>
      <c r="P46" s="16"/>
      <c r="Q46" s="16"/>
      <c r="R46" s="16"/>
      <c r="S46" s="16"/>
      <c r="V46" s="16"/>
      <c r="W46" s="16"/>
      <c r="X46" s="16"/>
      <c r="AA46" s="16"/>
      <c r="AB46" s="16"/>
      <c r="AD46" s="16"/>
      <c r="AE46" s="16"/>
    </row>
    <row r="47" spans="1:31" ht="19" customHeight="1" x14ac:dyDescent="0.3">
      <c r="A47" s="30"/>
      <c r="B47" s="30"/>
      <c r="C47" s="30"/>
      <c r="D47" s="30"/>
      <c r="E47" s="30"/>
      <c r="F47" s="30"/>
      <c r="G47" s="30"/>
      <c r="H47" s="30"/>
      <c r="L47" s="30"/>
      <c r="M47" s="30"/>
      <c r="N47" s="30"/>
      <c r="O47" s="30"/>
      <c r="P47" s="30"/>
      <c r="Q47" s="30"/>
      <c r="R47" s="30"/>
      <c r="S47" s="30"/>
      <c r="V47" s="30"/>
      <c r="W47" s="30"/>
      <c r="X47" s="30"/>
      <c r="AA47" s="30"/>
      <c r="AB47" s="30"/>
      <c r="AD47" s="30"/>
      <c r="AE47" s="30"/>
    </row>
    <row r="48" spans="1:31" ht="19" customHeight="1" x14ac:dyDescent="0.3">
      <c r="A48" s="16"/>
      <c r="B48" s="16"/>
      <c r="C48" s="16"/>
      <c r="D48" s="16"/>
      <c r="E48" s="16"/>
      <c r="F48" s="16"/>
      <c r="G48" s="16"/>
      <c r="H48" s="16"/>
      <c r="L48" s="16"/>
      <c r="M48" s="16"/>
      <c r="N48" s="16"/>
      <c r="O48" s="16"/>
      <c r="P48" s="16"/>
      <c r="Q48" s="16"/>
      <c r="R48" s="16"/>
      <c r="S48" s="16"/>
      <c r="V48" s="16"/>
      <c r="W48" s="16"/>
      <c r="X48" s="16"/>
      <c r="AA48" s="16"/>
      <c r="AB48" s="16"/>
      <c r="AD48" s="16"/>
      <c r="AE48" s="16"/>
    </row>
    <row r="49" spans="1:31" ht="19" customHeight="1" x14ac:dyDescent="0.3">
      <c r="A49" s="30"/>
      <c r="B49" s="30"/>
      <c r="C49" s="30"/>
      <c r="D49" s="30"/>
      <c r="E49" s="30"/>
      <c r="F49" s="30"/>
      <c r="G49" s="30"/>
      <c r="H49" s="30"/>
      <c r="L49" s="30"/>
      <c r="M49" s="30"/>
      <c r="N49" s="30"/>
      <c r="O49" s="30"/>
      <c r="P49" s="30"/>
      <c r="Q49" s="30"/>
      <c r="R49" s="30"/>
      <c r="S49" s="30"/>
      <c r="V49" s="30"/>
      <c r="W49" s="30"/>
      <c r="X49" s="30"/>
      <c r="AA49" s="30"/>
      <c r="AB49" s="30"/>
      <c r="AD49" s="30"/>
      <c r="AE49" s="30"/>
    </row>
    <row r="50" spans="1:31" ht="19" customHeight="1" x14ac:dyDescent="0.3">
      <c r="A50" s="26"/>
      <c r="B50" s="26"/>
      <c r="C50" s="26"/>
      <c r="D50" s="26"/>
      <c r="E50" s="26"/>
      <c r="F50" s="26"/>
      <c r="G50" s="26"/>
      <c r="H50" s="26"/>
      <c r="L50" s="26"/>
      <c r="M50" s="26"/>
      <c r="N50" s="26"/>
      <c r="O50" s="26"/>
      <c r="P50" s="26"/>
      <c r="Q50" s="26"/>
      <c r="R50" s="26"/>
      <c r="S50" s="26"/>
      <c r="V50" s="26"/>
      <c r="W50" s="26"/>
      <c r="X50" s="26"/>
      <c r="AA50" s="26"/>
      <c r="AB50" s="26"/>
      <c r="AD50" s="26"/>
      <c r="AE50" s="26"/>
    </row>
  </sheetData>
  <mergeCells count="6">
    <mergeCell ref="AD3:AE3"/>
    <mergeCell ref="A1:H1"/>
    <mergeCell ref="A3:H3"/>
    <mergeCell ref="L3:S3"/>
    <mergeCell ref="V3:X3"/>
    <mergeCell ref="AA3:AB3"/>
  </mergeCells>
  <conditionalFormatting sqref="A5:H50">
    <cfRule type="expression" dxfId="97" priority="21">
      <formula>$E5="Done"</formula>
    </cfRule>
    <cfRule type="expression" dxfId="96" priority="22">
      <formula>$A5="bthm"</formula>
    </cfRule>
    <cfRule type="expression" dxfId="95" priority="23">
      <formula>$A5="mcs"</formula>
    </cfRule>
    <cfRule type="expression" dxfId="94" priority="24">
      <formula>$A5="public speaking"</formula>
    </cfRule>
    <cfRule type="expression" dxfId="93" priority="25">
      <formula>$A5="principles of microeconomics"</formula>
    </cfRule>
  </conditionalFormatting>
  <conditionalFormatting sqref="L5:S50">
    <cfRule type="expression" dxfId="92" priority="16">
      <formula>$E5="Done"</formula>
    </cfRule>
    <cfRule type="expression" dxfId="91" priority="17">
      <formula>$A5="bthm"</formula>
    </cfRule>
    <cfRule type="expression" dxfId="90" priority="18">
      <formula>$A5="mcs"</formula>
    </cfRule>
    <cfRule type="expression" dxfId="89" priority="19">
      <formula>$A5="public speaking"</formula>
    </cfRule>
    <cfRule type="expression" dxfId="88" priority="20">
      <formula>$A5="principles of microeconomics"</formula>
    </cfRule>
  </conditionalFormatting>
  <conditionalFormatting sqref="V5:X50">
    <cfRule type="expression" dxfId="87" priority="11">
      <formula>$E5="Done"</formula>
    </cfRule>
    <cfRule type="expression" dxfId="86" priority="12">
      <formula>$A5="bthm"</formula>
    </cfRule>
    <cfRule type="expression" dxfId="85" priority="13">
      <formula>$A5="mcs"</formula>
    </cfRule>
    <cfRule type="expression" dxfId="84" priority="14">
      <formula>$A5="public speaking"</formula>
    </cfRule>
    <cfRule type="expression" dxfId="83" priority="15">
      <formula>$A5="principles of microeconomics"</formula>
    </cfRule>
  </conditionalFormatting>
  <conditionalFormatting sqref="AA5:AB50">
    <cfRule type="expression" dxfId="82" priority="6">
      <formula>$E5="Done"</formula>
    </cfRule>
    <cfRule type="expression" dxfId="81" priority="7">
      <formula>$A5="bthm"</formula>
    </cfRule>
    <cfRule type="expression" dxfId="80" priority="8">
      <formula>$A5="mcs"</formula>
    </cfRule>
    <cfRule type="expression" dxfId="79" priority="9">
      <formula>$A5="public speaking"</formula>
    </cfRule>
    <cfRule type="expression" dxfId="78" priority="10">
      <formula>$A5="principles of microeconomics"</formula>
    </cfRule>
  </conditionalFormatting>
  <conditionalFormatting sqref="AD5:AE50">
    <cfRule type="expression" dxfId="77" priority="1">
      <formula>$E5="Done"</formula>
    </cfRule>
    <cfRule type="expression" dxfId="76" priority="2">
      <formula>$A5="bthm"</formula>
    </cfRule>
    <cfRule type="expression" dxfId="75" priority="3">
      <formula>$A5="mcs"</formula>
    </cfRule>
    <cfRule type="expression" dxfId="74" priority="4">
      <formula>$A5="public speaking"</formula>
    </cfRule>
    <cfRule type="expression" dxfId="73" priority="5">
      <formula>$A5="principles of microeconomics"</formula>
    </cfRule>
  </conditionalFormatting>
  <pageMargins left="0.7" right="0.7" top="0.75" bottom="0.75" header="0.3" footer="0.3"/>
  <pageSetup orientation="portrait" useFirstPageNumber="1" horizontalDpi="4294967295" verticalDpi="429496729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G11"/>
  <sheetViews>
    <sheetView zoomScale="180" zoomScaleNormal="180" workbookViewId="0">
      <pane ySplit="1" topLeftCell="A2" activePane="bottomLeft" state="frozen"/>
      <selection activeCell="J13" sqref="J13"/>
      <selection pane="bottomLeft" activeCell="I3" sqref="I3"/>
    </sheetView>
  </sheetViews>
  <sheetFormatPr baseColWidth="10" defaultColWidth="8.83203125" defaultRowHeight="15" x14ac:dyDescent="0.2"/>
  <cols>
    <col min="1" max="1" width="23.83203125" customWidth="1"/>
    <col min="2" max="2" width="13" customWidth="1"/>
    <col min="3" max="4" width="12" customWidth="1"/>
    <col min="5" max="5" width="17" customWidth="1"/>
    <col min="6" max="6" width="16" customWidth="1"/>
    <col min="7" max="7" width="12" customWidth="1"/>
  </cols>
  <sheetData>
    <row r="1" spans="1:7" ht="22" customHeight="1" x14ac:dyDescent="0.2">
      <c r="A1" s="1" t="s">
        <v>6</v>
      </c>
      <c r="B1" s="1" t="s">
        <v>19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13</v>
      </c>
    </row>
    <row r="2" spans="1:7" x14ac:dyDescent="0.2">
      <c r="A2" s="15"/>
      <c r="B2" s="14"/>
      <c r="C2" s="15"/>
      <c r="D2" s="15"/>
      <c r="E2" s="15"/>
      <c r="F2" s="21"/>
      <c r="G2" s="21"/>
    </row>
    <row r="3" spans="1:7" x14ac:dyDescent="0.2">
      <c r="A3" s="16"/>
      <c r="B3" s="16"/>
      <c r="C3" s="16"/>
      <c r="D3" s="16"/>
      <c r="E3" s="16"/>
      <c r="F3" s="23"/>
      <c r="G3" s="23"/>
    </row>
    <row r="4" spans="1:7" x14ac:dyDescent="0.2">
      <c r="A4" s="15"/>
      <c r="B4" s="15"/>
      <c r="C4" s="15"/>
      <c r="D4" s="15"/>
      <c r="E4" s="15"/>
      <c r="F4" s="21"/>
      <c r="G4" s="21"/>
    </row>
    <row r="5" spans="1:7" x14ac:dyDescent="0.2">
      <c r="A5" s="16"/>
      <c r="B5" s="16"/>
      <c r="C5" s="16"/>
      <c r="D5" s="16"/>
      <c r="E5" s="16"/>
      <c r="F5" s="23"/>
      <c r="G5" s="23"/>
    </row>
    <row r="6" spans="1:7" x14ac:dyDescent="0.2">
      <c r="A6" s="15"/>
      <c r="B6" s="15"/>
      <c r="C6" s="15"/>
      <c r="D6" s="15"/>
      <c r="E6" s="15"/>
      <c r="F6" s="21"/>
      <c r="G6" s="21"/>
    </row>
    <row r="7" spans="1:7" x14ac:dyDescent="0.2">
      <c r="A7" s="16"/>
      <c r="B7" s="16"/>
      <c r="C7" s="16"/>
      <c r="D7" s="16"/>
      <c r="E7" s="16"/>
      <c r="F7" s="23"/>
      <c r="G7" s="23"/>
    </row>
    <row r="8" spans="1:7" x14ac:dyDescent="0.2">
      <c r="A8" s="15"/>
      <c r="B8" s="15"/>
      <c r="C8" s="15"/>
      <c r="D8" s="15"/>
      <c r="E8" s="15"/>
      <c r="F8" s="21"/>
      <c r="G8" s="21"/>
    </row>
    <row r="9" spans="1:7" x14ac:dyDescent="0.2">
      <c r="A9" s="16"/>
      <c r="B9" s="16"/>
      <c r="C9" s="16"/>
      <c r="D9" s="16"/>
      <c r="E9" s="16"/>
      <c r="F9" s="23"/>
      <c r="G9" s="23"/>
    </row>
    <row r="10" spans="1:7" x14ac:dyDescent="0.2">
      <c r="A10" s="15"/>
      <c r="B10" s="15"/>
      <c r="C10" s="15"/>
      <c r="D10" s="15"/>
      <c r="E10" s="15"/>
      <c r="F10" s="21"/>
      <c r="G10" s="21"/>
    </row>
    <row r="11" spans="1:7" x14ac:dyDescent="0.2">
      <c r="A11" s="16"/>
      <c r="B11" s="16"/>
      <c r="C11" s="16"/>
      <c r="D11" s="16"/>
      <c r="E11" s="16"/>
      <c r="F11" s="23"/>
      <c r="G11" s="23"/>
    </row>
  </sheetData>
  <conditionalFormatting sqref="A2:G11">
    <cfRule type="expression" dxfId="72" priority="1">
      <formula>$E2="Done"</formula>
    </cfRule>
    <cfRule type="expression" dxfId="71" priority="2">
      <formula>$A2="bthm"</formula>
    </cfRule>
    <cfRule type="expression" dxfId="70" priority="3">
      <formula>$A2="mcs"</formula>
    </cfRule>
    <cfRule type="expression" dxfId="69" priority="4">
      <formula>$A2="public speaking"</formula>
    </cfRule>
    <cfRule type="expression" dxfId="68" priority="5">
      <formula>$A2="principles of microeconomics"</formula>
    </cfRule>
  </conditionalFormatting>
  <pageMargins left="0.7" right="0.7" top="0.75" bottom="0.75" header="0.3" footer="0.3"/>
  <pageSetup orientation="portrait" useFirstPageNumber="1" horizontalDpi="4294967295" verticalDpi="429496729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47"/>
  <sheetViews>
    <sheetView topLeftCell="B1" zoomScale="136" zoomScaleNormal="136" workbookViewId="0">
      <pane ySplit="1" topLeftCell="A2" activePane="bottomLeft" state="frozen"/>
      <selection pane="bottomLeft" activeCell="J6" sqref="J6"/>
    </sheetView>
  </sheetViews>
  <sheetFormatPr baseColWidth="10" defaultColWidth="8.83203125" defaultRowHeight="15" x14ac:dyDescent="0.2"/>
  <cols>
    <col min="1" max="1" width="23.83203125" customWidth="1"/>
    <col min="2" max="2" width="38" customWidth="1"/>
    <col min="3" max="3" width="13.33203125" customWidth="1"/>
    <col min="4" max="4" width="13.33203125" bestFit="1" customWidth="1"/>
    <col min="5" max="5" width="12" customWidth="1"/>
    <col min="6" max="6" width="22.6640625" bestFit="1" customWidth="1"/>
    <col min="7" max="7" width="18.83203125" bestFit="1" customWidth="1"/>
    <col min="8" max="8" width="12" customWidth="1"/>
    <col min="10" max="10" width="16" customWidth="1"/>
    <col min="11" max="11" width="26" customWidth="1"/>
  </cols>
  <sheetData>
    <row r="1" spans="1:11" ht="24" customHeight="1" x14ac:dyDescent="0.2">
      <c r="A1" s="2" t="s">
        <v>6</v>
      </c>
      <c r="B1" s="17" t="s">
        <v>7</v>
      </c>
      <c r="C1" s="18" t="s">
        <v>8</v>
      </c>
      <c r="D1" s="18" t="s">
        <v>9</v>
      </c>
      <c r="E1" s="18" t="s">
        <v>10</v>
      </c>
      <c r="F1" s="18" t="s">
        <v>11</v>
      </c>
      <c r="G1" s="18" t="s">
        <v>12</v>
      </c>
      <c r="H1" s="19" t="s">
        <v>13</v>
      </c>
      <c r="J1" s="10"/>
      <c r="K1" s="3"/>
    </row>
    <row r="2" spans="1:11" ht="18" customHeight="1" x14ac:dyDescent="0.25">
      <c r="A2" s="5"/>
      <c r="B2" s="20" t="str" cm="1">
        <f t="array" ref="B2">IFERROR(_xlfn.SORTBY(_xlfn._xlws.FILTER(Assignments!A2:H1000,(Assignments!B2:B1000&lt;&gt;"")*(Assignments!E2:E1000&lt;&gt;"Done")*(Assignments!E2:E1000&lt;&gt;"Finished")),_xlfn._xlws.FILTER(Assignments!C2:C1000,(Assignments!B2:B1000&lt;&gt;"")*(Assignments!E2:E1000&lt;&gt;"Done")*(Assignments!E2:E1000&lt;&gt;"Finished")),1,_xlfn._xlws.FILTER(Assignments!F2:F1000,(Assignments!B2:B1000&lt;&gt;"")*(Assignments!E2:E1000&lt;&gt;"Done")*(Assignments!E2:E1000&lt;&gt;"Finished")),1),"No unfinished assignments")</f>
        <v>No unfinished assignments</v>
      </c>
      <c r="C2" s="15"/>
      <c r="D2" s="14"/>
      <c r="E2" s="15"/>
      <c r="F2" s="15"/>
      <c r="G2" s="15"/>
      <c r="H2" s="21"/>
    </row>
    <row r="3" spans="1:11" x14ac:dyDescent="0.2">
      <c r="B3" s="22"/>
      <c r="C3" s="16"/>
      <c r="D3" s="16"/>
      <c r="E3" s="16"/>
      <c r="F3" s="16"/>
      <c r="G3" s="16"/>
      <c r="H3" s="23"/>
    </row>
    <row r="4" spans="1:11" x14ac:dyDescent="0.2">
      <c r="B4" s="24"/>
      <c r="C4" s="15"/>
      <c r="D4" s="15"/>
      <c r="E4" s="15"/>
      <c r="F4" s="15"/>
      <c r="G4" s="15"/>
      <c r="H4" s="21"/>
    </row>
    <row r="5" spans="1:11" x14ac:dyDescent="0.2">
      <c r="B5" s="22"/>
      <c r="C5" s="16"/>
      <c r="D5" s="16"/>
      <c r="E5" s="16"/>
      <c r="F5" s="16"/>
      <c r="G5" s="16"/>
      <c r="H5" s="23"/>
    </row>
    <row r="6" spans="1:11" x14ac:dyDescent="0.2">
      <c r="B6" s="24"/>
      <c r="C6" s="15"/>
      <c r="D6" s="15"/>
      <c r="E6" s="15"/>
      <c r="F6" s="15"/>
      <c r="G6" s="15"/>
      <c r="H6" s="21"/>
    </row>
    <row r="7" spans="1:11" x14ac:dyDescent="0.2">
      <c r="B7" s="22"/>
      <c r="C7" s="16"/>
      <c r="D7" s="16"/>
      <c r="E7" s="16"/>
      <c r="F7" s="16"/>
      <c r="G7" s="16"/>
      <c r="H7" s="23"/>
    </row>
    <row r="8" spans="1:11" x14ac:dyDescent="0.2">
      <c r="B8" s="24"/>
      <c r="C8" s="15"/>
      <c r="D8" s="15"/>
      <c r="E8" s="15"/>
      <c r="F8" s="15"/>
      <c r="G8" s="15"/>
      <c r="H8" s="21"/>
    </row>
    <row r="9" spans="1:11" x14ac:dyDescent="0.2">
      <c r="B9" s="22"/>
      <c r="C9" s="16"/>
      <c r="D9" s="16"/>
      <c r="E9" s="16"/>
      <c r="F9" s="16"/>
      <c r="G9" s="16"/>
      <c r="H9" s="23"/>
    </row>
    <row r="10" spans="1:11" x14ac:dyDescent="0.2">
      <c r="B10" s="24"/>
      <c r="C10" s="15"/>
      <c r="D10" s="15"/>
      <c r="E10" s="15"/>
      <c r="F10" s="15"/>
      <c r="G10" s="15"/>
      <c r="H10" s="21"/>
    </row>
    <row r="11" spans="1:11" x14ac:dyDescent="0.2">
      <c r="B11" s="22"/>
      <c r="C11" s="16"/>
      <c r="D11" s="16"/>
      <c r="E11" s="16"/>
      <c r="F11" s="16"/>
      <c r="G11" s="16"/>
      <c r="H11" s="23"/>
    </row>
    <row r="12" spans="1:11" x14ac:dyDescent="0.2">
      <c r="B12" s="24"/>
      <c r="C12" s="15"/>
      <c r="D12" s="15"/>
      <c r="E12" s="15"/>
      <c r="F12" s="15"/>
      <c r="G12" s="15"/>
      <c r="H12" s="21"/>
    </row>
    <row r="13" spans="1:11" x14ac:dyDescent="0.2">
      <c r="B13" s="22"/>
      <c r="C13" s="16"/>
      <c r="D13" s="16"/>
      <c r="E13" s="16"/>
      <c r="F13" s="16"/>
      <c r="G13" s="16"/>
      <c r="H13" s="23"/>
    </row>
    <row r="14" spans="1:11" x14ac:dyDescent="0.2">
      <c r="B14" s="24"/>
      <c r="C14" s="15"/>
      <c r="D14" s="15"/>
      <c r="E14" s="15"/>
      <c r="F14" s="15"/>
      <c r="G14" s="15"/>
      <c r="H14" s="21"/>
    </row>
    <row r="15" spans="1:11" x14ac:dyDescent="0.2">
      <c r="B15" s="22"/>
      <c r="C15" s="16"/>
      <c r="D15" s="16"/>
      <c r="E15" s="16"/>
      <c r="F15" s="16"/>
      <c r="G15" s="16"/>
      <c r="H15" s="23"/>
    </row>
    <row r="16" spans="1:11" x14ac:dyDescent="0.2">
      <c r="B16" s="24"/>
      <c r="C16" s="15"/>
      <c r="D16" s="15"/>
      <c r="E16" s="15"/>
      <c r="F16" s="15"/>
      <c r="G16" s="15"/>
      <c r="H16" s="21"/>
    </row>
    <row r="17" spans="2:8" x14ac:dyDescent="0.2">
      <c r="B17" s="22"/>
      <c r="C17" s="16"/>
      <c r="D17" s="16"/>
      <c r="E17" s="16"/>
      <c r="F17" s="16"/>
      <c r="G17" s="16"/>
      <c r="H17" s="23"/>
    </row>
    <row r="18" spans="2:8" x14ac:dyDescent="0.2">
      <c r="B18" s="24"/>
      <c r="C18" s="15"/>
      <c r="D18" s="15"/>
      <c r="E18" s="15"/>
      <c r="F18" s="15"/>
      <c r="G18" s="15"/>
      <c r="H18" s="21"/>
    </row>
    <row r="19" spans="2:8" x14ac:dyDescent="0.2">
      <c r="B19" s="22"/>
      <c r="C19" s="16"/>
      <c r="D19" s="16"/>
      <c r="E19" s="16"/>
      <c r="F19" s="16"/>
      <c r="G19" s="16"/>
      <c r="H19" s="23"/>
    </row>
    <row r="20" spans="2:8" x14ac:dyDescent="0.2">
      <c r="B20" s="24"/>
      <c r="C20" s="15"/>
      <c r="D20" s="15"/>
      <c r="E20" s="15"/>
      <c r="F20" s="15"/>
      <c r="G20" s="15"/>
      <c r="H20" s="21"/>
    </row>
    <row r="21" spans="2:8" x14ac:dyDescent="0.2">
      <c r="B21" s="22"/>
      <c r="C21" s="16"/>
      <c r="D21" s="16"/>
      <c r="E21" s="16"/>
      <c r="F21" s="16"/>
      <c r="G21" s="16"/>
      <c r="H21" s="23"/>
    </row>
    <row r="22" spans="2:8" x14ac:dyDescent="0.2">
      <c r="B22" s="24"/>
      <c r="C22" s="15"/>
      <c r="D22" s="15"/>
      <c r="E22" s="15"/>
      <c r="F22" s="15"/>
      <c r="G22" s="15"/>
      <c r="H22" s="21"/>
    </row>
    <row r="23" spans="2:8" x14ac:dyDescent="0.2">
      <c r="B23" s="22"/>
      <c r="C23" s="16"/>
      <c r="D23" s="16"/>
      <c r="E23" s="16"/>
      <c r="F23" s="16"/>
      <c r="G23" s="16"/>
      <c r="H23" s="23"/>
    </row>
    <row r="24" spans="2:8" x14ac:dyDescent="0.2">
      <c r="B24" s="24"/>
      <c r="C24" s="15"/>
      <c r="D24" s="15"/>
      <c r="E24" s="15"/>
      <c r="F24" s="15"/>
      <c r="G24" s="15"/>
      <c r="H24" s="21"/>
    </row>
    <row r="25" spans="2:8" x14ac:dyDescent="0.2">
      <c r="B25" s="22"/>
      <c r="C25" s="16"/>
      <c r="D25" s="16"/>
      <c r="E25" s="16"/>
      <c r="F25" s="16"/>
      <c r="G25" s="16"/>
      <c r="H25" s="23"/>
    </row>
    <row r="26" spans="2:8" x14ac:dyDescent="0.2">
      <c r="B26" s="24"/>
      <c r="C26" s="15"/>
      <c r="D26" s="15"/>
      <c r="E26" s="15"/>
      <c r="F26" s="15"/>
      <c r="G26" s="15"/>
      <c r="H26" s="21"/>
    </row>
    <row r="27" spans="2:8" x14ac:dyDescent="0.2">
      <c r="B27" s="22"/>
      <c r="C27" s="16"/>
      <c r="D27" s="16"/>
      <c r="E27" s="16"/>
      <c r="F27" s="16"/>
      <c r="G27" s="16"/>
      <c r="H27" s="23"/>
    </row>
    <row r="28" spans="2:8" x14ac:dyDescent="0.2">
      <c r="B28" s="24"/>
      <c r="C28" s="15"/>
      <c r="D28" s="15"/>
      <c r="E28" s="15"/>
      <c r="F28" s="15"/>
      <c r="G28" s="15"/>
      <c r="H28" s="21"/>
    </row>
    <row r="29" spans="2:8" x14ac:dyDescent="0.2">
      <c r="B29" s="22"/>
      <c r="C29" s="16"/>
      <c r="D29" s="16"/>
      <c r="E29" s="16"/>
      <c r="F29" s="16"/>
      <c r="G29" s="16"/>
      <c r="H29" s="23"/>
    </row>
    <row r="30" spans="2:8" x14ac:dyDescent="0.2">
      <c r="B30" s="24"/>
      <c r="C30" s="15"/>
      <c r="D30" s="15"/>
      <c r="E30" s="15"/>
      <c r="F30" s="15"/>
      <c r="G30" s="15"/>
      <c r="H30" s="21"/>
    </row>
    <row r="31" spans="2:8" x14ac:dyDescent="0.2">
      <c r="B31" s="22"/>
      <c r="C31" s="16"/>
      <c r="D31" s="16"/>
      <c r="E31" s="16"/>
      <c r="F31" s="16"/>
      <c r="G31" s="16"/>
      <c r="H31" s="23"/>
    </row>
    <row r="32" spans="2:8" x14ac:dyDescent="0.2">
      <c r="B32" s="24"/>
      <c r="C32" s="15"/>
      <c r="D32" s="15"/>
      <c r="E32" s="15"/>
      <c r="F32" s="15"/>
      <c r="G32" s="15"/>
      <c r="H32" s="21"/>
    </row>
    <row r="33" spans="2:8" x14ac:dyDescent="0.2">
      <c r="B33" s="22"/>
      <c r="C33" s="16"/>
      <c r="D33" s="16"/>
      <c r="E33" s="16"/>
      <c r="F33" s="16"/>
      <c r="G33" s="16"/>
      <c r="H33" s="23"/>
    </row>
    <row r="34" spans="2:8" x14ac:dyDescent="0.2">
      <c r="B34" s="24"/>
      <c r="C34" s="15"/>
      <c r="D34" s="15"/>
      <c r="E34" s="15"/>
      <c r="F34" s="15"/>
      <c r="G34" s="15"/>
      <c r="H34" s="21"/>
    </row>
    <row r="35" spans="2:8" x14ac:dyDescent="0.2">
      <c r="B35" s="22"/>
      <c r="C35" s="16"/>
      <c r="D35" s="16"/>
      <c r="E35" s="16"/>
      <c r="F35" s="16"/>
      <c r="G35" s="16"/>
      <c r="H35" s="23"/>
    </row>
    <row r="36" spans="2:8" x14ac:dyDescent="0.2">
      <c r="B36" s="24"/>
      <c r="C36" s="15"/>
      <c r="D36" s="15"/>
      <c r="E36" s="15"/>
      <c r="F36" s="15"/>
      <c r="G36" s="15"/>
      <c r="H36" s="21"/>
    </row>
    <row r="37" spans="2:8" x14ac:dyDescent="0.2">
      <c r="B37" s="22"/>
      <c r="C37" s="16"/>
      <c r="D37" s="16"/>
      <c r="E37" s="16"/>
      <c r="F37" s="16"/>
      <c r="G37" s="16"/>
      <c r="H37" s="23"/>
    </row>
    <row r="38" spans="2:8" x14ac:dyDescent="0.2">
      <c r="B38" s="24"/>
      <c r="C38" s="15"/>
      <c r="D38" s="15"/>
      <c r="E38" s="15"/>
      <c r="F38" s="15"/>
      <c r="G38" s="15"/>
      <c r="H38" s="21"/>
    </row>
    <row r="39" spans="2:8" x14ac:dyDescent="0.2">
      <c r="B39" s="22"/>
      <c r="C39" s="16"/>
      <c r="D39" s="16"/>
      <c r="E39" s="16"/>
      <c r="F39" s="16"/>
      <c r="G39" s="16"/>
      <c r="H39" s="23"/>
    </row>
    <row r="40" spans="2:8" x14ac:dyDescent="0.2">
      <c r="B40" s="24"/>
      <c r="C40" s="15"/>
      <c r="D40" s="15"/>
      <c r="E40" s="15"/>
      <c r="F40" s="15"/>
      <c r="G40" s="15"/>
      <c r="H40" s="21"/>
    </row>
    <row r="41" spans="2:8" x14ac:dyDescent="0.2">
      <c r="B41" s="22"/>
      <c r="C41" s="16"/>
      <c r="D41" s="16"/>
      <c r="E41" s="16"/>
      <c r="F41" s="16"/>
      <c r="G41" s="16"/>
      <c r="H41" s="23"/>
    </row>
    <row r="42" spans="2:8" x14ac:dyDescent="0.2">
      <c r="B42" s="24"/>
      <c r="C42" s="15"/>
      <c r="D42" s="15"/>
      <c r="E42" s="15"/>
      <c r="F42" s="15"/>
      <c r="G42" s="15"/>
      <c r="H42" s="21"/>
    </row>
    <row r="43" spans="2:8" x14ac:dyDescent="0.2">
      <c r="B43" s="22"/>
      <c r="C43" s="16"/>
      <c r="D43" s="16"/>
      <c r="E43" s="16"/>
      <c r="F43" s="16"/>
      <c r="G43" s="16"/>
      <c r="H43" s="23"/>
    </row>
    <row r="44" spans="2:8" x14ac:dyDescent="0.2">
      <c r="B44" s="24"/>
      <c r="C44" s="15"/>
      <c r="D44" s="15"/>
      <c r="E44" s="15"/>
      <c r="F44" s="15"/>
      <c r="G44" s="15"/>
      <c r="H44" s="21"/>
    </row>
    <row r="45" spans="2:8" x14ac:dyDescent="0.2">
      <c r="B45" s="22"/>
      <c r="C45" s="16"/>
      <c r="D45" s="16"/>
      <c r="E45" s="16"/>
      <c r="F45" s="16"/>
      <c r="G45" s="16"/>
      <c r="H45" s="23"/>
    </row>
    <row r="46" spans="2:8" x14ac:dyDescent="0.2">
      <c r="B46" s="24"/>
      <c r="C46" s="15"/>
      <c r="D46" s="15"/>
      <c r="E46" s="15"/>
      <c r="F46" s="15"/>
      <c r="G46" s="15"/>
      <c r="H46" s="21"/>
    </row>
    <row r="47" spans="2:8" x14ac:dyDescent="0.2">
      <c r="B47" s="25"/>
      <c r="C47" s="26"/>
      <c r="D47" s="26"/>
      <c r="E47" s="26"/>
      <c r="F47" s="26"/>
      <c r="G47" s="26"/>
      <c r="H47" s="27"/>
    </row>
  </sheetData>
  <conditionalFormatting sqref="A48:H2000 A2:A47">
    <cfRule type="expression" dxfId="67" priority="6">
      <formula>$E2="Done"</formula>
    </cfRule>
    <cfRule type="expression" dxfId="66" priority="7">
      <formula>$A2="bthm"</formula>
    </cfRule>
    <cfRule type="expression" dxfId="65" priority="8">
      <formula>$A2="mcs"</formula>
    </cfRule>
    <cfRule type="expression" dxfId="64" priority="9">
      <formula>$A2="public speaking"</formula>
    </cfRule>
    <cfRule type="expression" dxfId="63" priority="10">
      <formula>$A2="principles of microeconomics"</formula>
    </cfRule>
  </conditionalFormatting>
  <conditionalFormatting sqref="B2:H47">
    <cfRule type="expression" dxfId="62" priority="1">
      <formula>$E2="Done"</formula>
    </cfRule>
    <cfRule type="expression" dxfId="61" priority="2">
      <formula>$A2="bthm"</formula>
    </cfRule>
    <cfRule type="expression" dxfId="60" priority="3">
      <formula>$A2="mcs"</formula>
    </cfRule>
    <cfRule type="expression" dxfId="59" priority="4">
      <formula>$A2="public speaking"</formula>
    </cfRule>
    <cfRule type="expression" dxfId="58" priority="5">
      <formula>$A2="principles of microeconomics"</formula>
    </cfRule>
  </conditionalFormatting>
  <pageMargins left="0.7" right="0.7" top="0.75" bottom="0.75" header="0.3" footer="0.3"/>
  <pageSetup orientation="portrait" useFirstPageNumber="1" horizontalDpi="4294967295" verticalDpi="429496729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88952-5E70-EF45-B1C9-3F5737151431}">
  <sheetPr codeName="Sheet14"/>
  <dimension ref="A1:G47"/>
  <sheetViews>
    <sheetView zoomScale="138" zoomScaleNormal="138" workbookViewId="0">
      <pane ySplit="1" topLeftCell="A2" activePane="bottomLeft" state="frozen"/>
      <selection pane="bottomLeft" activeCell="B10" sqref="B10"/>
    </sheetView>
  </sheetViews>
  <sheetFormatPr baseColWidth="10" defaultColWidth="8.83203125" defaultRowHeight="15" x14ac:dyDescent="0.2"/>
  <cols>
    <col min="1" max="1" width="23.83203125" customWidth="1"/>
    <col min="2" max="2" width="17" customWidth="1"/>
    <col min="3" max="3" width="13" customWidth="1"/>
    <col min="4" max="5" width="12" customWidth="1"/>
    <col min="6" max="6" width="16" customWidth="1"/>
    <col min="7" max="7" width="12" customWidth="1"/>
  </cols>
  <sheetData>
    <row r="1" spans="1:7" ht="22" customHeight="1" x14ac:dyDescent="0.2">
      <c r="A1" s="17" t="s">
        <v>6</v>
      </c>
      <c r="B1" s="18" t="s">
        <v>24</v>
      </c>
      <c r="C1" s="18" t="s">
        <v>15</v>
      </c>
      <c r="D1" s="18" t="s">
        <v>25</v>
      </c>
      <c r="E1" s="18" t="s">
        <v>26</v>
      </c>
      <c r="F1" s="18" t="s">
        <v>27</v>
      </c>
      <c r="G1" s="19" t="s">
        <v>13</v>
      </c>
    </row>
    <row r="2" spans="1:7" ht="19" x14ac:dyDescent="0.25">
      <c r="A2" s="20" t="str" cm="1">
        <f t="array" ref="A2">IFERROR(_xlfn.SORTBY(_xlfn._xlws.FILTER(Exams!A2:F1000,(Exams!B2:B1000&lt;&gt;"")*(Exams!F2:F1000&lt;&gt;"Done")*(Exams!F2:F1000&lt;&gt;"Finished")),_xlfn._xlws.FILTER(Exams!C2:C1000,(Exams!B2:B1000&lt;&gt;"")*(Exams!F2:F1000&lt;&gt;"Done")*(Exams!F2:F1000&lt;&gt;"Finished")),1),"No unfinished exams")</f>
        <v>No unfinished exams</v>
      </c>
      <c r="B2" s="15"/>
      <c r="C2" s="14"/>
      <c r="D2" s="15"/>
      <c r="E2" s="15"/>
      <c r="F2" s="15"/>
      <c r="G2" s="21"/>
    </row>
    <row r="3" spans="1:7" x14ac:dyDescent="0.2">
      <c r="A3" s="22"/>
      <c r="B3" s="16"/>
      <c r="C3" s="16"/>
      <c r="D3" s="16"/>
      <c r="E3" s="16"/>
      <c r="F3" s="16"/>
      <c r="G3" s="23"/>
    </row>
    <row r="4" spans="1:7" x14ac:dyDescent="0.2">
      <c r="A4" s="24"/>
      <c r="B4" s="15"/>
      <c r="C4" s="15"/>
      <c r="D4" s="15"/>
      <c r="E4" s="15"/>
      <c r="F4" s="15"/>
      <c r="G4" s="21"/>
    </row>
    <row r="5" spans="1:7" x14ac:dyDescent="0.2">
      <c r="A5" s="22"/>
      <c r="B5" s="16"/>
      <c r="C5" s="16"/>
      <c r="D5" s="16"/>
      <c r="E5" s="16"/>
      <c r="F5" s="16"/>
      <c r="G5" s="23"/>
    </row>
    <row r="6" spans="1:7" x14ac:dyDescent="0.2">
      <c r="A6" s="24"/>
      <c r="B6" s="15"/>
      <c r="C6" s="15"/>
      <c r="D6" s="15"/>
      <c r="E6" s="15"/>
      <c r="F6" s="15"/>
      <c r="G6" s="21"/>
    </row>
    <row r="7" spans="1:7" x14ac:dyDescent="0.2">
      <c r="A7" s="22"/>
      <c r="B7" s="16"/>
      <c r="C7" s="16"/>
      <c r="D7" s="16"/>
      <c r="E7" s="16"/>
      <c r="F7" s="16"/>
      <c r="G7" s="23"/>
    </row>
    <row r="8" spans="1:7" x14ac:dyDescent="0.2">
      <c r="A8" s="24"/>
      <c r="B8" s="15"/>
      <c r="C8" s="15"/>
      <c r="D8" s="15"/>
      <c r="E8" s="15"/>
      <c r="F8" s="15"/>
      <c r="G8" s="21"/>
    </row>
    <row r="9" spans="1:7" x14ac:dyDescent="0.2">
      <c r="A9" s="22"/>
      <c r="B9" s="16"/>
      <c r="C9" s="16"/>
      <c r="D9" s="16"/>
      <c r="E9" s="16"/>
      <c r="F9" s="16"/>
      <c r="G9" s="23"/>
    </row>
    <row r="10" spans="1:7" x14ac:dyDescent="0.2">
      <c r="A10" s="24"/>
      <c r="B10" s="15"/>
      <c r="C10" s="15"/>
      <c r="D10" s="15"/>
      <c r="E10" s="15"/>
      <c r="F10" s="15"/>
      <c r="G10" s="21"/>
    </row>
    <row r="11" spans="1:7" x14ac:dyDescent="0.2">
      <c r="A11" s="22"/>
      <c r="B11" s="16"/>
      <c r="C11" s="16"/>
      <c r="D11" s="16"/>
      <c r="E11" s="16"/>
      <c r="F11" s="16"/>
      <c r="G11" s="23"/>
    </row>
    <row r="12" spans="1:7" x14ac:dyDescent="0.2">
      <c r="A12" s="24"/>
      <c r="B12" s="15"/>
      <c r="C12" s="15"/>
      <c r="D12" s="15"/>
      <c r="E12" s="15"/>
      <c r="F12" s="15"/>
      <c r="G12" s="21"/>
    </row>
    <row r="13" spans="1:7" x14ac:dyDescent="0.2">
      <c r="A13" s="22"/>
      <c r="B13" s="16"/>
      <c r="C13" s="16"/>
      <c r="D13" s="16"/>
      <c r="E13" s="16"/>
      <c r="F13" s="16"/>
      <c r="G13" s="23"/>
    </row>
    <row r="14" spans="1:7" x14ac:dyDescent="0.2">
      <c r="A14" s="24"/>
      <c r="B14" s="15"/>
      <c r="C14" s="15"/>
      <c r="D14" s="15"/>
      <c r="E14" s="15"/>
      <c r="F14" s="15"/>
      <c r="G14" s="21"/>
    </row>
    <row r="15" spans="1:7" x14ac:dyDescent="0.2">
      <c r="A15" s="22"/>
      <c r="B15" s="16"/>
      <c r="C15" s="16"/>
      <c r="D15" s="16"/>
      <c r="E15" s="16"/>
      <c r="F15" s="16"/>
      <c r="G15" s="23"/>
    </row>
    <row r="16" spans="1:7" x14ac:dyDescent="0.2">
      <c r="A16" s="24"/>
      <c r="B16" s="15"/>
      <c r="C16" s="15"/>
      <c r="D16" s="15"/>
      <c r="E16" s="15"/>
      <c r="F16" s="15"/>
      <c r="G16" s="21"/>
    </row>
    <row r="17" spans="1:7" x14ac:dyDescent="0.2">
      <c r="A17" s="22"/>
      <c r="B17" s="16"/>
      <c r="C17" s="16"/>
      <c r="D17" s="16"/>
      <c r="E17" s="16"/>
      <c r="F17" s="16"/>
      <c r="G17" s="23"/>
    </row>
    <row r="18" spans="1:7" x14ac:dyDescent="0.2">
      <c r="A18" s="24"/>
      <c r="B18" s="15"/>
      <c r="C18" s="15"/>
      <c r="D18" s="15"/>
      <c r="E18" s="15"/>
      <c r="F18" s="15"/>
      <c r="G18" s="21"/>
    </row>
    <row r="19" spans="1:7" x14ac:dyDescent="0.2">
      <c r="A19" s="22"/>
      <c r="B19" s="16"/>
      <c r="C19" s="16"/>
      <c r="D19" s="16"/>
      <c r="E19" s="16"/>
      <c r="F19" s="16"/>
      <c r="G19" s="23"/>
    </row>
    <row r="20" spans="1:7" x14ac:dyDescent="0.2">
      <c r="A20" s="24"/>
      <c r="B20" s="15"/>
      <c r="C20" s="15"/>
      <c r="D20" s="15"/>
      <c r="E20" s="15"/>
      <c r="F20" s="15"/>
      <c r="G20" s="21"/>
    </row>
    <row r="21" spans="1:7" x14ac:dyDescent="0.2">
      <c r="A21" s="22"/>
      <c r="B21" s="16"/>
      <c r="C21" s="16"/>
      <c r="D21" s="16"/>
      <c r="E21" s="16"/>
      <c r="F21" s="16"/>
      <c r="G21" s="23"/>
    </row>
    <row r="22" spans="1:7" x14ac:dyDescent="0.2">
      <c r="A22" s="24"/>
      <c r="B22" s="15"/>
      <c r="C22" s="15"/>
      <c r="D22" s="15"/>
      <c r="E22" s="15"/>
      <c r="F22" s="15"/>
      <c r="G22" s="21"/>
    </row>
    <row r="23" spans="1:7" x14ac:dyDescent="0.2">
      <c r="A23" s="22"/>
      <c r="B23" s="16"/>
      <c r="C23" s="16"/>
      <c r="D23" s="16"/>
      <c r="E23" s="16"/>
      <c r="F23" s="16"/>
      <c r="G23" s="23"/>
    </row>
    <row r="24" spans="1:7" x14ac:dyDescent="0.2">
      <c r="A24" s="24"/>
      <c r="B24" s="15"/>
      <c r="C24" s="15"/>
      <c r="D24" s="15"/>
      <c r="E24" s="15"/>
      <c r="F24" s="15"/>
      <c r="G24" s="21"/>
    </row>
    <row r="25" spans="1:7" x14ac:dyDescent="0.2">
      <c r="A25" s="22"/>
      <c r="B25" s="16"/>
      <c r="C25" s="16"/>
      <c r="D25" s="16"/>
      <c r="E25" s="16"/>
      <c r="F25" s="16"/>
      <c r="G25" s="23"/>
    </row>
    <row r="26" spans="1:7" x14ac:dyDescent="0.2">
      <c r="A26" s="24"/>
      <c r="B26" s="15"/>
      <c r="C26" s="15"/>
      <c r="D26" s="15"/>
      <c r="E26" s="15"/>
      <c r="F26" s="15"/>
      <c r="G26" s="21"/>
    </row>
    <row r="27" spans="1:7" x14ac:dyDescent="0.2">
      <c r="A27" s="22"/>
      <c r="B27" s="16"/>
      <c r="C27" s="16"/>
      <c r="D27" s="16"/>
      <c r="E27" s="16"/>
      <c r="F27" s="16"/>
      <c r="G27" s="23"/>
    </row>
    <row r="28" spans="1:7" x14ac:dyDescent="0.2">
      <c r="A28" s="24"/>
      <c r="B28" s="15"/>
      <c r="C28" s="15"/>
      <c r="D28" s="15"/>
      <c r="E28" s="15"/>
      <c r="F28" s="15"/>
      <c r="G28" s="21"/>
    </row>
    <row r="29" spans="1:7" x14ac:dyDescent="0.2">
      <c r="A29" s="22"/>
      <c r="B29" s="16"/>
      <c r="C29" s="16"/>
      <c r="D29" s="16"/>
      <c r="E29" s="16"/>
      <c r="F29" s="16"/>
      <c r="G29" s="23"/>
    </row>
    <row r="30" spans="1:7" x14ac:dyDescent="0.2">
      <c r="A30" s="24"/>
      <c r="B30" s="15"/>
      <c r="C30" s="15"/>
      <c r="D30" s="15"/>
      <c r="E30" s="15"/>
      <c r="F30" s="15"/>
      <c r="G30" s="21"/>
    </row>
    <row r="31" spans="1:7" x14ac:dyDescent="0.2">
      <c r="A31" s="22"/>
      <c r="B31" s="16"/>
      <c r="C31" s="16"/>
      <c r="D31" s="16"/>
      <c r="E31" s="16"/>
      <c r="F31" s="16"/>
      <c r="G31" s="23"/>
    </row>
    <row r="32" spans="1:7" x14ac:dyDescent="0.2">
      <c r="A32" s="24"/>
      <c r="B32" s="15"/>
      <c r="C32" s="15"/>
      <c r="D32" s="15"/>
      <c r="E32" s="15"/>
      <c r="F32" s="15"/>
      <c r="G32" s="21"/>
    </row>
    <row r="33" spans="1:7" x14ac:dyDescent="0.2">
      <c r="A33" s="22"/>
      <c r="B33" s="16"/>
      <c r="C33" s="16"/>
      <c r="D33" s="16"/>
      <c r="E33" s="16"/>
      <c r="F33" s="16"/>
      <c r="G33" s="23"/>
    </row>
    <row r="34" spans="1:7" x14ac:dyDescent="0.2">
      <c r="A34" s="24"/>
      <c r="B34" s="15"/>
      <c r="C34" s="15"/>
      <c r="D34" s="15"/>
      <c r="E34" s="15"/>
      <c r="F34" s="15"/>
      <c r="G34" s="21"/>
    </row>
    <row r="35" spans="1:7" x14ac:dyDescent="0.2">
      <c r="A35" s="22"/>
      <c r="B35" s="16"/>
      <c r="C35" s="16"/>
      <c r="D35" s="16"/>
      <c r="E35" s="16"/>
      <c r="F35" s="16"/>
      <c r="G35" s="23"/>
    </row>
    <row r="36" spans="1:7" x14ac:dyDescent="0.2">
      <c r="A36" s="24"/>
      <c r="B36" s="15"/>
      <c r="C36" s="15"/>
      <c r="D36" s="15"/>
      <c r="E36" s="15"/>
      <c r="F36" s="15"/>
      <c r="G36" s="21"/>
    </row>
    <row r="37" spans="1:7" x14ac:dyDescent="0.2">
      <c r="A37" s="22"/>
      <c r="B37" s="16"/>
      <c r="C37" s="16"/>
      <c r="D37" s="16"/>
      <c r="E37" s="16"/>
      <c r="F37" s="16"/>
      <c r="G37" s="23"/>
    </row>
    <row r="38" spans="1:7" x14ac:dyDescent="0.2">
      <c r="A38" s="24"/>
      <c r="B38" s="15"/>
      <c r="C38" s="15"/>
      <c r="D38" s="15"/>
      <c r="E38" s="15"/>
      <c r="F38" s="15"/>
      <c r="G38" s="21"/>
    </row>
    <row r="39" spans="1:7" x14ac:dyDescent="0.2">
      <c r="A39" s="22"/>
      <c r="B39" s="16"/>
      <c r="C39" s="16"/>
      <c r="D39" s="16"/>
      <c r="E39" s="16"/>
      <c r="F39" s="16"/>
      <c r="G39" s="23"/>
    </row>
    <row r="40" spans="1:7" x14ac:dyDescent="0.2">
      <c r="A40" s="24"/>
      <c r="B40" s="15"/>
      <c r="C40" s="15"/>
      <c r="D40" s="15"/>
      <c r="E40" s="15"/>
      <c r="F40" s="15"/>
      <c r="G40" s="21"/>
    </row>
    <row r="41" spans="1:7" x14ac:dyDescent="0.2">
      <c r="A41" s="22"/>
      <c r="B41" s="16"/>
      <c r="C41" s="16"/>
      <c r="D41" s="16"/>
      <c r="E41" s="16"/>
      <c r="F41" s="16"/>
      <c r="G41" s="23"/>
    </row>
    <row r="42" spans="1:7" x14ac:dyDescent="0.2">
      <c r="A42" s="24"/>
      <c r="B42" s="15"/>
      <c r="C42" s="15"/>
      <c r="D42" s="15"/>
      <c r="E42" s="15"/>
      <c r="F42" s="15"/>
      <c r="G42" s="21"/>
    </row>
    <row r="43" spans="1:7" x14ac:dyDescent="0.2">
      <c r="A43" s="22"/>
      <c r="B43" s="16"/>
      <c r="C43" s="16"/>
      <c r="D43" s="16"/>
      <c r="E43" s="16"/>
      <c r="F43" s="16"/>
      <c r="G43" s="23"/>
    </row>
    <row r="44" spans="1:7" x14ac:dyDescent="0.2">
      <c r="A44" s="24"/>
      <c r="B44" s="15"/>
      <c r="C44" s="15"/>
      <c r="D44" s="15"/>
      <c r="E44" s="15"/>
      <c r="F44" s="15"/>
      <c r="G44" s="21"/>
    </row>
    <row r="45" spans="1:7" x14ac:dyDescent="0.2">
      <c r="A45" s="22"/>
      <c r="B45" s="16"/>
      <c r="C45" s="16"/>
      <c r="D45" s="16"/>
      <c r="E45" s="16"/>
      <c r="F45" s="16"/>
      <c r="G45" s="23"/>
    </row>
    <row r="46" spans="1:7" x14ac:dyDescent="0.2">
      <c r="A46" s="24"/>
      <c r="B46" s="15"/>
      <c r="C46" s="15"/>
      <c r="D46" s="15"/>
      <c r="E46" s="15"/>
      <c r="F46" s="15"/>
      <c r="G46" s="21"/>
    </row>
    <row r="47" spans="1:7" x14ac:dyDescent="0.2">
      <c r="A47" s="25"/>
      <c r="B47" s="26"/>
      <c r="C47" s="26"/>
      <c r="D47" s="26"/>
      <c r="E47" s="26"/>
      <c r="F47" s="26"/>
      <c r="G47" s="27"/>
    </row>
  </sheetData>
  <conditionalFormatting sqref="A48:G2000">
    <cfRule type="expression" dxfId="57" priority="6">
      <formula>$A48="principles of microeconomics"</formula>
    </cfRule>
    <cfRule type="expression" dxfId="56" priority="7">
      <formula>$A48="public speaking"</formula>
    </cfRule>
    <cfRule type="expression" dxfId="55" priority="8">
      <formula>$A48="mcs"</formula>
    </cfRule>
    <cfRule type="expression" dxfId="54" priority="9">
      <formula>$A48="bthm"</formula>
    </cfRule>
  </conditionalFormatting>
  <conditionalFormatting sqref="A2:G47">
    <cfRule type="expression" dxfId="53" priority="1">
      <formula>$E2="Done"</formula>
    </cfRule>
    <cfRule type="expression" dxfId="52" priority="2">
      <formula>$A2="bthm"</formula>
    </cfRule>
    <cfRule type="expression" dxfId="51" priority="3">
      <formula>$A2="mcs"</formula>
    </cfRule>
    <cfRule type="expression" dxfId="50" priority="4">
      <formula>$A2="public speaking"</formula>
    </cfRule>
    <cfRule type="expression" dxfId="49" priority="5">
      <formula>$A2="principles of microeconomics"</formula>
    </cfRule>
  </conditionalFormatting>
  <pageMargins left="0.7" right="0.7" top="0.75" bottom="0.75" header="0.3" footer="0.3"/>
  <pageSetup orientation="portrait" useFirstPageNumber="1" horizontalDpi="4294967295" verticalDpi="429496729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BF0D-6B4E-6D4D-ADDD-0A7F8C9D88BA}">
  <sheetPr codeName="Sheet15"/>
  <dimension ref="A1:G47"/>
  <sheetViews>
    <sheetView zoomScale="125" zoomScaleNormal="125" workbookViewId="0">
      <pane ySplit="1" topLeftCell="A2" activePane="bottomLeft" state="frozen"/>
      <selection pane="bottomLeft" activeCell="F7" sqref="F7"/>
    </sheetView>
  </sheetViews>
  <sheetFormatPr baseColWidth="10" defaultColWidth="8.83203125" defaultRowHeight="15" x14ac:dyDescent="0.2"/>
  <cols>
    <col min="1" max="1" width="25.5" customWidth="1"/>
    <col min="2" max="2" width="15" bestFit="1" customWidth="1"/>
    <col min="3" max="3" width="12.5" bestFit="1" customWidth="1"/>
    <col min="4" max="4" width="16" bestFit="1" customWidth="1"/>
    <col min="5" max="5" width="14.83203125" bestFit="1" customWidth="1"/>
    <col min="6" max="6" width="17.6640625" bestFit="1" customWidth="1"/>
    <col min="7" max="7" width="12" customWidth="1"/>
  </cols>
  <sheetData>
    <row r="1" spans="1:7" ht="22" customHeight="1" x14ac:dyDescent="0.2">
      <c r="A1" s="12" t="s">
        <v>16</v>
      </c>
      <c r="B1" s="12" t="s">
        <v>28</v>
      </c>
      <c r="C1" s="12" t="s">
        <v>10</v>
      </c>
      <c r="D1" s="12" t="s">
        <v>29</v>
      </c>
      <c r="E1" s="12" t="s">
        <v>30</v>
      </c>
      <c r="F1" s="12" t="s">
        <v>31</v>
      </c>
      <c r="G1" s="12" t="s">
        <v>13</v>
      </c>
    </row>
    <row r="2" spans="1:7" ht="19" x14ac:dyDescent="0.25">
      <c r="A2" s="13" t="str" cm="1">
        <f t="array" ref="A2">IFERROR(_xlfn.SORTBY(_xlfn._xlws.FILTER(Projects!A2:H1000,(Projects!A2:A1000&lt;&gt;"")*(Projects!C2:C1000&lt;&gt;"Done")*(Projects!C2:C1000&lt;&gt;"Finished")),_xlfn._xlws.FILTER(Projects!E2:E1000,(Projects!A2:A1000&lt;&gt;"")*(Projects!C2:C1000&lt;&gt;"Done")*(Projects!C2:C1000&lt;&gt;"Finished")),1),"No unfinished projects")</f>
        <v>No unfinished projects</v>
      </c>
      <c r="B2" s="14"/>
      <c r="C2" s="15"/>
      <c r="D2" s="15"/>
      <c r="E2" s="15"/>
      <c r="F2" s="15"/>
      <c r="G2" s="15"/>
    </row>
    <row r="3" spans="1:7" x14ac:dyDescent="0.2">
      <c r="A3" s="16"/>
      <c r="B3" s="16"/>
      <c r="C3" s="16"/>
      <c r="D3" s="16"/>
      <c r="E3" s="16"/>
      <c r="F3" s="16"/>
      <c r="G3" s="16"/>
    </row>
    <row r="4" spans="1:7" x14ac:dyDescent="0.2">
      <c r="A4" s="15"/>
      <c r="B4" s="15"/>
      <c r="C4" s="15"/>
      <c r="D4" s="15"/>
      <c r="E4" s="15"/>
      <c r="F4" s="15"/>
      <c r="G4" s="15"/>
    </row>
    <row r="5" spans="1:7" x14ac:dyDescent="0.2">
      <c r="A5" s="16"/>
      <c r="B5" s="16"/>
      <c r="C5" s="16"/>
      <c r="D5" s="16"/>
      <c r="E5" s="16"/>
      <c r="F5" s="16"/>
      <c r="G5" s="16"/>
    </row>
    <row r="6" spans="1:7" x14ac:dyDescent="0.2">
      <c r="A6" s="15"/>
      <c r="B6" s="15"/>
      <c r="C6" s="15"/>
      <c r="D6" s="15"/>
      <c r="E6" s="15"/>
      <c r="F6" s="15"/>
      <c r="G6" s="15"/>
    </row>
    <row r="7" spans="1:7" x14ac:dyDescent="0.2">
      <c r="A7" s="16"/>
      <c r="B7" s="16"/>
      <c r="C7" s="16"/>
      <c r="D7" s="16"/>
      <c r="E7" s="16"/>
      <c r="F7" s="16"/>
      <c r="G7" s="16"/>
    </row>
    <row r="8" spans="1:7" x14ac:dyDescent="0.2">
      <c r="A8" s="15"/>
      <c r="B8" s="15"/>
      <c r="C8" s="15"/>
      <c r="D8" s="15"/>
      <c r="E8" s="15"/>
      <c r="F8" s="15"/>
      <c r="G8" s="15"/>
    </row>
    <row r="9" spans="1:7" x14ac:dyDescent="0.2">
      <c r="A9" s="16"/>
      <c r="B9" s="16"/>
      <c r="C9" s="16"/>
      <c r="D9" s="16"/>
      <c r="E9" s="16"/>
      <c r="F9" s="16"/>
      <c r="G9" s="16"/>
    </row>
    <row r="10" spans="1:7" x14ac:dyDescent="0.2">
      <c r="A10" s="15"/>
      <c r="B10" s="15"/>
      <c r="C10" s="15"/>
      <c r="D10" s="15"/>
      <c r="E10" s="15"/>
      <c r="F10" s="15"/>
      <c r="G10" s="15"/>
    </row>
    <row r="11" spans="1:7" x14ac:dyDescent="0.2">
      <c r="A11" s="16"/>
      <c r="B11" s="16"/>
      <c r="C11" s="16"/>
      <c r="D11" s="16"/>
      <c r="E11" s="16"/>
      <c r="F11" s="16"/>
      <c r="G11" s="16"/>
    </row>
    <row r="12" spans="1:7" x14ac:dyDescent="0.2">
      <c r="A12" s="15"/>
      <c r="B12" s="15"/>
      <c r="C12" s="15"/>
      <c r="D12" s="15"/>
      <c r="E12" s="15"/>
      <c r="F12" s="15"/>
      <c r="G12" s="15"/>
    </row>
    <row r="13" spans="1:7" x14ac:dyDescent="0.2">
      <c r="A13" s="16"/>
      <c r="B13" s="16"/>
      <c r="C13" s="16"/>
      <c r="D13" s="16"/>
      <c r="E13" s="16"/>
      <c r="F13" s="16"/>
      <c r="G13" s="16"/>
    </row>
    <row r="14" spans="1:7" x14ac:dyDescent="0.2">
      <c r="A14" s="15"/>
      <c r="B14" s="15"/>
      <c r="C14" s="15"/>
      <c r="D14" s="15"/>
      <c r="E14" s="15"/>
      <c r="F14" s="15"/>
      <c r="G14" s="15"/>
    </row>
    <row r="15" spans="1:7" x14ac:dyDescent="0.2">
      <c r="A15" s="16"/>
      <c r="B15" s="16"/>
      <c r="C15" s="16"/>
      <c r="D15" s="16"/>
      <c r="E15" s="16"/>
      <c r="F15" s="16"/>
      <c r="G15" s="16"/>
    </row>
    <row r="16" spans="1:7" x14ac:dyDescent="0.2">
      <c r="A16" s="15"/>
      <c r="B16" s="15"/>
      <c r="C16" s="15"/>
      <c r="D16" s="15"/>
      <c r="E16" s="15"/>
      <c r="F16" s="15"/>
      <c r="G16" s="15"/>
    </row>
    <row r="17" spans="1:7" x14ac:dyDescent="0.2">
      <c r="A17" s="16"/>
      <c r="B17" s="16"/>
      <c r="C17" s="16"/>
      <c r="D17" s="16"/>
      <c r="E17" s="16"/>
      <c r="F17" s="16"/>
      <c r="G17" s="16"/>
    </row>
    <row r="18" spans="1:7" x14ac:dyDescent="0.2">
      <c r="A18" s="15"/>
      <c r="B18" s="15"/>
      <c r="C18" s="15"/>
      <c r="D18" s="15"/>
      <c r="E18" s="15"/>
      <c r="F18" s="15"/>
      <c r="G18" s="15"/>
    </row>
    <row r="19" spans="1:7" x14ac:dyDescent="0.2">
      <c r="A19" s="16"/>
      <c r="B19" s="16"/>
      <c r="C19" s="16"/>
      <c r="D19" s="16"/>
      <c r="E19" s="16"/>
      <c r="F19" s="16"/>
      <c r="G19" s="16"/>
    </row>
    <row r="20" spans="1:7" x14ac:dyDescent="0.2">
      <c r="A20" s="15"/>
      <c r="B20" s="15"/>
      <c r="C20" s="15"/>
      <c r="D20" s="15"/>
      <c r="E20" s="15"/>
      <c r="F20" s="15"/>
      <c r="G20" s="15"/>
    </row>
    <row r="21" spans="1:7" x14ac:dyDescent="0.2">
      <c r="A21" s="16"/>
      <c r="B21" s="16"/>
      <c r="C21" s="16"/>
      <c r="D21" s="16"/>
      <c r="E21" s="16"/>
      <c r="F21" s="16"/>
      <c r="G21" s="16"/>
    </row>
    <row r="22" spans="1:7" x14ac:dyDescent="0.2">
      <c r="A22" s="15"/>
      <c r="B22" s="15"/>
      <c r="C22" s="15"/>
      <c r="D22" s="15"/>
      <c r="E22" s="15"/>
      <c r="F22" s="15"/>
      <c r="G22" s="15"/>
    </row>
    <row r="23" spans="1:7" x14ac:dyDescent="0.2">
      <c r="A23" s="16"/>
      <c r="B23" s="16"/>
      <c r="C23" s="16"/>
      <c r="D23" s="16"/>
      <c r="E23" s="16"/>
      <c r="F23" s="16"/>
      <c r="G23" s="16"/>
    </row>
    <row r="24" spans="1:7" x14ac:dyDescent="0.2">
      <c r="A24" s="15"/>
      <c r="B24" s="15"/>
      <c r="C24" s="15"/>
      <c r="D24" s="15"/>
      <c r="E24" s="15"/>
      <c r="F24" s="15"/>
      <c r="G24" s="15"/>
    </row>
    <row r="25" spans="1:7" x14ac:dyDescent="0.2">
      <c r="A25" s="16"/>
      <c r="B25" s="16"/>
      <c r="C25" s="16"/>
      <c r="D25" s="16"/>
      <c r="E25" s="16"/>
      <c r="F25" s="16"/>
      <c r="G25" s="16"/>
    </row>
    <row r="26" spans="1:7" x14ac:dyDescent="0.2">
      <c r="A26" s="15"/>
      <c r="B26" s="15"/>
      <c r="C26" s="15"/>
      <c r="D26" s="15"/>
      <c r="E26" s="15"/>
      <c r="F26" s="15"/>
      <c r="G26" s="15"/>
    </row>
    <row r="27" spans="1:7" x14ac:dyDescent="0.2">
      <c r="A27" s="16"/>
      <c r="B27" s="16"/>
      <c r="C27" s="16"/>
      <c r="D27" s="16"/>
      <c r="E27" s="16"/>
      <c r="F27" s="16"/>
      <c r="G27" s="16"/>
    </row>
    <row r="28" spans="1:7" x14ac:dyDescent="0.2">
      <c r="A28" s="15"/>
      <c r="B28" s="15"/>
      <c r="C28" s="15"/>
      <c r="D28" s="15"/>
      <c r="E28" s="15"/>
      <c r="F28" s="15"/>
      <c r="G28" s="15"/>
    </row>
    <row r="29" spans="1:7" x14ac:dyDescent="0.2">
      <c r="A29" s="16"/>
      <c r="B29" s="16"/>
      <c r="C29" s="16"/>
      <c r="D29" s="16"/>
      <c r="E29" s="16"/>
      <c r="F29" s="16"/>
      <c r="G29" s="16"/>
    </row>
    <row r="30" spans="1:7" x14ac:dyDescent="0.2">
      <c r="A30" s="15"/>
      <c r="B30" s="15"/>
      <c r="C30" s="15"/>
      <c r="D30" s="15"/>
      <c r="E30" s="15"/>
      <c r="F30" s="15"/>
      <c r="G30" s="15"/>
    </row>
    <row r="31" spans="1:7" x14ac:dyDescent="0.2">
      <c r="A31" s="16"/>
      <c r="B31" s="16"/>
      <c r="C31" s="16"/>
      <c r="D31" s="16"/>
      <c r="E31" s="16"/>
      <c r="F31" s="16"/>
      <c r="G31" s="16"/>
    </row>
    <row r="32" spans="1:7" x14ac:dyDescent="0.2">
      <c r="A32" s="15"/>
      <c r="B32" s="15"/>
      <c r="C32" s="15"/>
      <c r="D32" s="15"/>
      <c r="E32" s="15"/>
      <c r="F32" s="15"/>
      <c r="G32" s="15"/>
    </row>
    <row r="33" spans="1:7" x14ac:dyDescent="0.2">
      <c r="A33" s="16"/>
      <c r="B33" s="16"/>
      <c r="C33" s="16"/>
      <c r="D33" s="16"/>
      <c r="E33" s="16"/>
      <c r="F33" s="16"/>
      <c r="G33" s="16"/>
    </row>
    <row r="34" spans="1:7" x14ac:dyDescent="0.2">
      <c r="A34" s="15"/>
      <c r="B34" s="15"/>
      <c r="C34" s="15"/>
      <c r="D34" s="15"/>
      <c r="E34" s="15"/>
      <c r="F34" s="15"/>
      <c r="G34" s="15"/>
    </row>
    <row r="35" spans="1:7" x14ac:dyDescent="0.2">
      <c r="A35" s="16"/>
      <c r="B35" s="16"/>
      <c r="C35" s="16"/>
      <c r="D35" s="16"/>
      <c r="E35" s="16"/>
      <c r="F35" s="16"/>
      <c r="G35" s="16"/>
    </row>
    <row r="36" spans="1:7" x14ac:dyDescent="0.2">
      <c r="A36" s="15"/>
      <c r="B36" s="15"/>
      <c r="C36" s="15"/>
      <c r="D36" s="15"/>
      <c r="E36" s="15"/>
      <c r="F36" s="15"/>
      <c r="G36" s="15"/>
    </row>
    <row r="37" spans="1:7" x14ac:dyDescent="0.2">
      <c r="A37" s="16"/>
      <c r="B37" s="16"/>
      <c r="C37" s="16"/>
      <c r="D37" s="16"/>
      <c r="E37" s="16"/>
      <c r="F37" s="16"/>
      <c r="G37" s="16"/>
    </row>
    <row r="38" spans="1:7" x14ac:dyDescent="0.2">
      <c r="A38" s="15"/>
      <c r="B38" s="15"/>
      <c r="C38" s="15"/>
      <c r="D38" s="15"/>
      <c r="E38" s="15"/>
      <c r="F38" s="15"/>
      <c r="G38" s="15"/>
    </row>
    <row r="39" spans="1:7" x14ac:dyDescent="0.2">
      <c r="A39" s="16"/>
      <c r="B39" s="16"/>
      <c r="C39" s="16"/>
      <c r="D39" s="16"/>
      <c r="E39" s="16"/>
      <c r="F39" s="16"/>
      <c r="G39" s="16"/>
    </row>
    <row r="40" spans="1:7" x14ac:dyDescent="0.2">
      <c r="A40" s="15"/>
      <c r="B40" s="15"/>
      <c r="C40" s="15"/>
      <c r="D40" s="15"/>
      <c r="E40" s="15"/>
      <c r="F40" s="15"/>
      <c r="G40" s="15"/>
    </row>
    <row r="41" spans="1:7" x14ac:dyDescent="0.2">
      <c r="A41" s="16"/>
      <c r="B41" s="16"/>
      <c r="C41" s="16"/>
      <c r="D41" s="16"/>
      <c r="E41" s="16"/>
      <c r="F41" s="16"/>
      <c r="G41" s="16"/>
    </row>
    <row r="42" spans="1:7" x14ac:dyDescent="0.2">
      <c r="A42" s="15"/>
      <c r="B42" s="15"/>
      <c r="C42" s="15"/>
      <c r="D42" s="15"/>
      <c r="E42" s="15"/>
      <c r="F42" s="15"/>
      <c r="G42" s="15"/>
    </row>
    <row r="43" spans="1:7" x14ac:dyDescent="0.2">
      <c r="A43" s="16"/>
      <c r="B43" s="16"/>
      <c r="C43" s="16"/>
      <c r="D43" s="16"/>
      <c r="E43" s="16"/>
      <c r="F43" s="16"/>
      <c r="G43" s="16"/>
    </row>
    <row r="44" spans="1:7" x14ac:dyDescent="0.2">
      <c r="A44" s="15"/>
      <c r="B44" s="15"/>
      <c r="C44" s="15"/>
      <c r="D44" s="15"/>
      <c r="E44" s="15"/>
      <c r="F44" s="15"/>
      <c r="G44" s="15"/>
    </row>
    <row r="45" spans="1:7" x14ac:dyDescent="0.2">
      <c r="A45" s="16"/>
      <c r="B45" s="16"/>
      <c r="C45" s="16"/>
      <c r="D45" s="16"/>
      <c r="E45" s="16"/>
      <c r="F45" s="16"/>
      <c r="G45" s="16"/>
    </row>
    <row r="46" spans="1:7" x14ac:dyDescent="0.2">
      <c r="A46" s="15"/>
      <c r="B46" s="15"/>
      <c r="C46" s="15"/>
      <c r="D46" s="15"/>
      <c r="E46" s="15"/>
      <c r="F46" s="15"/>
      <c r="G46" s="15"/>
    </row>
    <row r="47" spans="1:7" x14ac:dyDescent="0.2">
      <c r="A47" s="16"/>
      <c r="B47" s="16"/>
      <c r="C47" s="16"/>
      <c r="D47" s="16"/>
      <c r="E47" s="16"/>
      <c r="F47" s="16"/>
      <c r="G47" s="16"/>
    </row>
  </sheetData>
  <conditionalFormatting sqref="A2:G47">
    <cfRule type="expression" dxfId="48" priority="1">
      <formula>$E2="Done"</formula>
    </cfRule>
    <cfRule type="expression" dxfId="47" priority="2">
      <formula>$A2="bthm"</formula>
    </cfRule>
    <cfRule type="expression" dxfId="46" priority="3">
      <formula>$A2="mcs"</formula>
    </cfRule>
    <cfRule type="expression" dxfId="45" priority="4">
      <formula>$A2="public speaking"</formula>
    </cfRule>
    <cfRule type="expression" dxfId="44" priority="5">
      <formula>$A2="principles of microeconomics"</formula>
    </cfRule>
  </conditionalFormatting>
  <pageMargins left="0.7" right="0.7" top="0.75" bottom="0.75" header="0.3" footer="0.3"/>
  <pageSetup orientation="portrait" useFirstPageNumber="1" horizontalDpi="4294967295" verticalDpi="429496729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6DA83-05F6-424D-837C-A4DCDD4E87B8}">
  <sheetPr codeName="Sheet16"/>
  <dimension ref="A1:I47"/>
  <sheetViews>
    <sheetView tabSelected="1" zoomScale="138" zoomScaleNormal="138" workbookViewId="0">
      <pane ySplit="1" topLeftCell="A2" activePane="bottomLeft" state="frozen"/>
      <selection pane="bottomLeft" activeCell="H6" sqref="H6"/>
    </sheetView>
  </sheetViews>
  <sheetFormatPr baseColWidth="10" defaultColWidth="8.83203125" defaultRowHeight="15" x14ac:dyDescent="0.2"/>
  <cols>
    <col min="1" max="3" width="12" customWidth="1"/>
    <col min="4" max="4" width="16.1640625" customWidth="1"/>
    <col min="5" max="5" width="17" customWidth="1"/>
    <col min="6" max="6" width="18.33203125" customWidth="1"/>
    <col min="7" max="7" width="18" customWidth="1"/>
    <col min="8" max="9" width="12" customWidth="1"/>
  </cols>
  <sheetData>
    <row r="1" spans="1:9" ht="22" customHeight="1" x14ac:dyDescent="0.2">
      <c r="A1" s="17" t="s">
        <v>17</v>
      </c>
      <c r="B1" s="18" t="s">
        <v>18</v>
      </c>
      <c r="C1" s="18" t="s">
        <v>10</v>
      </c>
      <c r="D1" s="18" t="s">
        <v>32</v>
      </c>
      <c r="E1" s="18" t="s">
        <v>33</v>
      </c>
      <c r="F1" s="18" t="s">
        <v>34</v>
      </c>
      <c r="G1" s="18" t="s">
        <v>35</v>
      </c>
      <c r="H1" s="18" t="s">
        <v>36</v>
      </c>
      <c r="I1" s="19" t="s">
        <v>13</v>
      </c>
    </row>
    <row r="2" spans="1:9" ht="19" x14ac:dyDescent="0.25">
      <c r="A2" s="29" t="str" cm="1">
        <f t="array" ref="A2">IFERROR(_xlfn.SORTBY(_xlfn._xlws.FILTER(Books!A2:H1000,Books!A2:A1000&lt;&gt;""),_xlfn.XMATCH(_xlfn._xlws.FILTER(Books!C2:C1000,Books!A2:A1000&lt;&gt;""),{"Reading","TBR","Finished"}),1),"No books")</f>
        <v>No books</v>
      </c>
      <c r="B2" s="15"/>
      <c r="C2" s="15"/>
      <c r="D2" s="15"/>
      <c r="E2" s="15"/>
      <c r="F2" s="15"/>
      <c r="G2" s="14"/>
      <c r="H2" s="15"/>
      <c r="I2" s="21"/>
    </row>
    <row r="3" spans="1:9" x14ac:dyDescent="0.2">
      <c r="A3" s="22"/>
      <c r="B3" s="16"/>
      <c r="C3" s="16"/>
      <c r="D3" s="16"/>
      <c r="E3" s="16"/>
      <c r="F3" s="16"/>
      <c r="G3" s="16"/>
      <c r="H3" s="16"/>
      <c r="I3" s="23"/>
    </row>
    <row r="4" spans="1:9" x14ac:dyDescent="0.2">
      <c r="A4" s="24"/>
      <c r="B4" s="15"/>
      <c r="C4" s="15"/>
      <c r="D4" s="15"/>
      <c r="E4" s="15"/>
      <c r="F4" s="15"/>
      <c r="G4" s="15"/>
      <c r="H4" s="15"/>
      <c r="I4" s="21"/>
    </row>
    <row r="5" spans="1:9" x14ac:dyDescent="0.2">
      <c r="A5" s="22"/>
      <c r="B5" s="16"/>
      <c r="C5" s="16"/>
      <c r="D5" s="16"/>
      <c r="E5" s="16"/>
      <c r="F5" s="16"/>
      <c r="G5" s="16"/>
      <c r="H5" s="16"/>
      <c r="I5" s="23"/>
    </row>
    <row r="6" spans="1:9" x14ac:dyDescent="0.2">
      <c r="A6" s="24"/>
      <c r="B6" s="15"/>
      <c r="C6" s="15"/>
      <c r="D6" s="15"/>
      <c r="E6" s="15"/>
      <c r="F6" s="15"/>
      <c r="G6" s="15"/>
      <c r="H6" s="15"/>
      <c r="I6" s="21"/>
    </row>
    <row r="7" spans="1:9" x14ac:dyDescent="0.2">
      <c r="A7" s="22"/>
      <c r="B7" s="16"/>
      <c r="C7" s="16"/>
      <c r="D7" s="16"/>
      <c r="E7" s="16"/>
      <c r="F7" s="16"/>
      <c r="G7" s="16"/>
      <c r="H7" s="16"/>
      <c r="I7" s="23"/>
    </row>
    <row r="8" spans="1:9" x14ac:dyDescent="0.2">
      <c r="A8" s="24"/>
      <c r="B8" s="15"/>
      <c r="C8" s="15"/>
      <c r="D8" s="15"/>
      <c r="E8" s="15"/>
      <c r="F8" s="15"/>
      <c r="G8" s="15"/>
      <c r="H8" s="15"/>
      <c r="I8" s="21"/>
    </row>
    <row r="9" spans="1:9" x14ac:dyDescent="0.2">
      <c r="A9" s="22"/>
      <c r="B9" s="16"/>
      <c r="C9" s="16"/>
      <c r="D9" s="16"/>
      <c r="E9" s="16"/>
      <c r="F9" s="16"/>
      <c r="G9" s="16"/>
      <c r="H9" s="16"/>
      <c r="I9" s="23"/>
    </row>
    <row r="10" spans="1:9" x14ac:dyDescent="0.2">
      <c r="A10" s="24"/>
      <c r="B10" s="15"/>
      <c r="C10" s="15"/>
      <c r="D10" s="15"/>
      <c r="E10" s="15"/>
      <c r="F10" s="15"/>
      <c r="G10" s="15"/>
      <c r="H10" s="15"/>
      <c r="I10" s="21"/>
    </row>
    <row r="11" spans="1:9" x14ac:dyDescent="0.2">
      <c r="A11" s="22"/>
      <c r="B11" s="16"/>
      <c r="C11" s="16"/>
      <c r="D11" s="16"/>
      <c r="E11" s="16"/>
      <c r="F11" s="16"/>
      <c r="G11" s="16"/>
      <c r="H11" s="16"/>
      <c r="I11" s="23"/>
    </row>
    <row r="12" spans="1:9" x14ac:dyDescent="0.2">
      <c r="A12" s="24"/>
      <c r="B12" s="15"/>
      <c r="C12" s="15"/>
      <c r="D12" s="15"/>
      <c r="E12" s="15"/>
      <c r="F12" s="15"/>
      <c r="G12" s="15"/>
      <c r="H12" s="15"/>
      <c r="I12" s="21"/>
    </row>
    <row r="13" spans="1:9" x14ac:dyDescent="0.2">
      <c r="A13" s="22"/>
      <c r="B13" s="16"/>
      <c r="C13" s="16"/>
      <c r="D13" s="16"/>
      <c r="E13" s="16"/>
      <c r="F13" s="16"/>
      <c r="G13" s="16"/>
      <c r="H13" s="16"/>
      <c r="I13" s="23"/>
    </row>
    <row r="14" spans="1:9" x14ac:dyDescent="0.2">
      <c r="A14" s="24"/>
      <c r="B14" s="15"/>
      <c r="C14" s="15"/>
      <c r="D14" s="15"/>
      <c r="E14" s="15"/>
      <c r="F14" s="15"/>
      <c r="G14" s="15"/>
      <c r="H14" s="15"/>
      <c r="I14" s="21"/>
    </row>
    <row r="15" spans="1:9" x14ac:dyDescent="0.2">
      <c r="A15" s="22"/>
      <c r="B15" s="16"/>
      <c r="C15" s="16"/>
      <c r="D15" s="16"/>
      <c r="E15" s="16"/>
      <c r="F15" s="16"/>
      <c r="G15" s="16"/>
      <c r="H15" s="16"/>
      <c r="I15" s="23"/>
    </row>
    <row r="16" spans="1:9" x14ac:dyDescent="0.2">
      <c r="A16" s="24"/>
      <c r="B16" s="15"/>
      <c r="C16" s="15"/>
      <c r="D16" s="15"/>
      <c r="E16" s="15"/>
      <c r="F16" s="15"/>
      <c r="G16" s="15"/>
      <c r="H16" s="15"/>
      <c r="I16" s="21"/>
    </row>
    <row r="17" spans="1:9" x14ac:dyDescent="0.2">
      <c r="A17" s="22"/>
      <c r="B17" s="16"/>
      <c r="C17" s="16"/>
      <c r="D17" s="16"/>
      <c r="E17" s="16"/>
      <c r="F17" s="16"/>
      <c r="G17" s="16"/>
      <c r="H17" s="16"/>
      <c r="I17" s="23"/>
    </row>
    <row r="18" spans="1:9" x14ac:dyDescent="0.2">
      <c r="A18" s="24"/>
      <c r="B18" s="15"/>
      <c r="C18" s="15"/>
      <c r="D18" s="15"/>
      <c r="E18" s="15"/>
      <c r="F18" s="15"/>
      <c r="G18" s="15"/>
      <c r="H18" s="15"/>
      <c r="I18" s="21"/>
    </row>
    <row r="19" spans="1:9" x14ac:dyDescent="0.2">
      <c r="A19" s="22"/>
      <c r="B19" s="16"/>
      <c r="C19" s="16"/>
      <c r="D19" s="16"/>
      <c r="E19" s="16"/>
      <c r="F19" s="16"/>
      <c r="G19" s="16"/>
      <c r="H19" s="16"/>
      <c r="I19" s="23"/>
    </row>
    <row r="20" spans="1:9" x14ac:dyDescent="0.2">
      <c r="A20" s="24"/>
      <c r="B20" s="15"/>
      <c r="C20" s="15"/>
      <c r="D20" s="15"/>
      <c r="E20" s="15"/>
      <c r="F20" s="15"/>
      <c r="G20" s="15"/>
      <c r="H20" s="15"/>
      <c r="I20" s="21"/>
    </row>
    <row r="21" spans="1:9" x14ac:dyDescent="0.2">
      <c r="A21" s="22"/>
      <c r="B21" s="16"/>
      <c r="C21" s="16"/>
      <c r="D21" s="16"/>
      <c r="E21" s="16"/>
      <c r="F21" s="16"/>
      <c r="G21" s="16"/>
      <c r="H21" s="16"/>
      <c r="I21" s="23"/>
    </row>
    <row r="22" spans="1:9" x14ac:dyDescent="0.2">
      <c r="A22" s="24"/>
      <c r="B22" s="15"/>
      <c r="C22" s="15"/>
      <c r="D22" s="15"/>
      <c r="E22" s="15"/>
      <c r="F22" s="15"/>
      <c r="G22" s="15"/>
      <c r="H22" s="15"/>
      <c r="I22" s="21"/>
    </row>
    <row r="23" spans="1:9" x14ac:dyDescent="0.2">
      <c r="A23" s="22"/>
      <c r="B23" s="16"/>
      <c r="C23" s="16"/>
      <c r="D23" s="16"/>
      <c r="E23" s="16"/>
      <c r="F23" s="16"/>
      <c r="G23" s="16"/>
      <c r="H23" s="16"/>
      <c r="I23" s="23"/>
    </row>
    <row r="24" spans="1:9" x14ac:dyDescent="0.2">
      <c r="A24" s="24"/>
      <c r="B24" s="15"/>
      <c r="C24" s="15"/>
      <c r="D24" s="15"/>
      <c r="E24" s="15"/>
      <c r="F24" s="15"/>
      <c r="G24" s="15"/>
      <c r="H24" s="15"/>
      <c r="I24" s="21"/>
    </row>
    <row r="25" spans="1:9" x14ac:dyDescent="0.2">
      <c r="A25" s="22"/>
      <c r="B25" s="16"/>
      <c r="C25" s="16"/>
      <c r="D25" s="16"/>
      <c r="E25" s="16"/>
      <c r="F25" s="16"/>
      <c r="G25" s="16"/>
      <c r="H25" s="16"/>
      <c r="I25" s="23"/>
    </row>
    <row r="26" spans="1:9" x14ac:dyDescent="0.2">
      <c r="A26" s="24"/>
      <c r="B26" s="15"/>
      <c r="C26" s="15"/>
      <c r="D26" s="15"/>
      <c r="E26" s="15"/>
      <c r="F26" s="15"/>
      <c r="G26" s="15"/>
      <c r="H26" s="15"/>
      <c r="I26" s="21"/>
    </row>
    <row r="27" spans="1:9" x14ac:dyDescent="0.2">
      <c r="A27" s="22"/>
      <c r="B27" s="16"/>
      <c r="C27" s="16"/>
      <c r="D27" s="16"/>
      <c r="E27" s="16"/>
      <c r="F27" s="16"/>
      <c r="G27" s="16"/>
      <c r="H27" s="16"/>
      <c r="I27" s="23"/>
    </row>
    <row r="28" spans="1:9" x14ac:dyDescent="0.2">
      <c r="A28" s="24"/>
      <c r="B28" s="15"/>
      <c r="C28" s="15"/>
      <c r="D28" s="15"/>
      <c r="E28" s="15"/>
      <c r="F28" s="15"/>
      <c r="G28" s="15"/>
      <c r="H28" s="15"/>
      <c r="I28" s="21"/>
    </row>
    <row r="29" spans="1:9" x14ac:dyDescent="0.2">
      <c r="A29" s="22"/>
      <c r="B29" s="16"/>
      <c r="C29" s="16"/>
      <c r="D29" s="16"/>
      <c r="E29" s="16"/>
      <c r="F29" s="16"/>
      <c r="G29" s="16"/>
      <c r="H29" s="16"/>
      <c r="I29" s="23"/>
    </row>
    <row r="30" spans="1:9" x14ac:dyDescent="0.2">
      <c r="A30" s="24"/>
      <c r="B30" s="15"/>
      <c r="C30" s="15"/>
      <c r="D30" s="15"/>
      <c r="E30" s="15"/>
      <c r="F30" s="15"/>
      <c r="G30" s="15"/>
      <c r="H30" s="15"/>
      <c r="I30" s="21"/>
    </row>
    <row r="31" spans="1:9" x14ac:dyDescent="0.2">
      <c r="A31" s="22"/>
      <c r="B31" s="16"/>
      <c r="C31" s="16"/>
      <c r="D31" s="16"/>
      <c r="E31" s="16"/>
      <c r="F31" s="16"/>
      <c r="G31" s="16"/>
      <c r="H31" s="16"/>
      <c r="I31" s="23"/>
    </row>
    <row r="32" spans="1:9" x14ac:dyDescent="0.2">
      <c r="A32" s="24"/>
      <c r="B32" s="15"/>
      <c r="C32" s="15"/>
      <c r="D32" s="15"/>
      <c r="E32" s="15"/>
      <c r="F32" s="15"/>
      <c r="G32" s="15"/>
      <c r="H32" s="15"/>
      <c r="I32" s="21"/>
    </row>
    <row r="33" spans="1:9" x14ac:dyDescent="0.2">
      <c r="A33" s="22"/>
      <c r="B33" s="16"/>
      <c r="C33" s="16"/>
      <c r="D33" s="16"/>
      <c r="E33" s="16"/>
      <c r="F33" s="16"/>
      <c r="G33" s="16"/>
      <c r="H33" s="16"/>
      <c r="I33" s="23"/>
    </row>
    <row r="34" spans="1:9" x14ac:dyDescent="0.2">
      <c r="A34" s="24"/>
      <c r="B34" s="15"/>
      <c r="C34" s="15"/>
      <c r="D34" s="15"/>
      <c r="E34" s="15"/>
      <c r="F34" s="15"/>
      <c r="G34" s="15"/>
      <c r="H34" s="15"/>
      <c r="I34" s="21"/>
    </row>
    <row r="35" spans="1:9" x14ac:dyDescent="0.2">
      <c r="A35" s="22"/>
      <c r="B35" s="16"/>
      <c r="C35" s="16"/>
      <c r="D35" s="16"/>
      <c r="E35" s="16"/>
      <c r="F35" s="16"/>
      <c r="G35" s="16"/>
      <c r="H35" s="16"/>
      <c r="I35" s="23"/>
    </row>
    <row r="36" spans="1:9" x14ac:dyDescent="0.2">
      <c r="A36" s="24"/>
      <c r="B36" s="15"/>
      <c r="C36" s="15"/>
      <c r="D36" s="15"/>
      <c r="E36" s="15"/>
      <c r="F36" s="15"/>
      <c r="G36" s="15"/>
      <c r="H36" s="15"/>
      <c r="I36" s="21"/>
    </row>
    <row r="37" spans="1:9" x14ac:dyDescent="0.2">
      <c r="A37" s="22"/>
      <c r="B37" s="16"/>
      <c r="C37" s="16"/>
      <c r="D37" s="16"/>
      <c r="E37" s="16"/>
      <c r="F37" s="16"/>
      <c r="G37" s="16"/>
      <c r="H37" s="16"/>
      <c r="I37" s="23"/>
    </row>
    <row r="38" spans="1:9" x14ac:dyDescent="0.2">
      <c r="A38" s="24"/>
      <c r="B38" s="15"/>
      <c r="C38" s="15"/>
      <c r="D38" s="15"/>
      <c r="E38" s="15"/>
      <c r="F38" s="15"/>
      <c r="G38" s="15"/>
      <c r="H38" s="15"/>
      <c r="I38" s="21"/>
    </row>
    <row r="39" spans="1:9" x14ac:dyDescent="0.2">
      <c r="A39" s="22"/>
      <c r="B39" s="16"/>
      <c r="C39" s="16"/>
      <c r="D39" s="16"/>
      <c r="E39" s="16"/>
      <c r="F39" s="16"/>
      <c r="G39" s="16"/>
      <c r="H39" s="16"/>
      <c r="I39" s="23"/>
    </row>
    <row r="40" spans="1:9" x14ac:dyDescent="0.2">
      <c r="A40" s="24"/>
      <c r="B40" s="15"/>
      <c r="C40" s="15"/>
      <c r="D40" s="15"/>
      <c r="E40" s="15"/>
      <c r="F40" s="15"/>
      <c r="G40" s="15"/>
      <c r="H40" s="15"/>
      <c r="I40" s="21"/>
    </row>
    <row r="41" spans="1:9" x14ac:dyDescent="0.2">
      <c r="A41" s="22"/>
      <c r="B41" s="16"/>
      <c r="C41" s="16"/>
      <c r="D41" s="16"/>
      <c r="E41" s="16"/>
      <c r="F41" s="16"/>
      <c r="G41" s="16"/>
      <c r="H41" s="16"/>
      <c r="I41" s="23"/>
    </row>
    <row r="42" spans="1:9" x14ac:dyDescent="0.2">
      <c r="A42" s="24"/>
      <c r="B42" s="15"/>
      <c r="C42" s="15"/>
      <c r="D42" s="15"/>
      <c r="E42" s="15"/>
      <c r="F42" s="15"/>
      <c r="G42" s="15"/>
      <c r="H42" s="15"/>
      <c r="I42" s="21"/>
    </row>
    <row r="43" spans="1:9" x14ac:dyDescent="0.2">
      <c r="A43" s="22"/>
      <c r="B43" s="16"/>
      <c r="C43" s="16"/>
      <c r="D43" s="16"/>
      <c r="E43" s="16"/>
      <c r="F43" s="16"/>
      <c r="G43" s="16"/>
      <c r="H43" s="16"/>
      <c r="I43" s="23"/>
    </row>
    <row r="44" spans="1:9" x14ac:dyDescent="0.2">
      <c r="A44" s="24"/>
      <c r="B44" s="15"/>
      <c r="C44" s="15"/>
      <c r="D44" s="15"/>
      <c r="E44" s="15"/>
      <c r="F44" s="15"/>
      <c r="G44" s="15"/>
      <c r="H44" s="15"/>
      <c r="I44" s="21"/>
    </row>
    <row r="45" spans="1:9" x14ac:dyDescent="0.2">
      <c r="A45" s="22"/>
      <c r="B45" s="16"/>
      <c r="C45" s="16"/>
      <c r="D45" s="16"/>
      <c r="E45" s="16"/>
      <c r="F45" s="16"/>
      <c r="G45" s="16"/>
      <c r="H45" s="16"/>
      <c r="I45" s="23"/>
    </row>
    <row r="46" spans="1:9" x14ac:dyDescent="0.2">
      <c r="A46" s="24"/>
      <c r="B46" s="15"/>
      <c r="C46" s="15"/>
      <c r="D46" s="15"/>
      <c r="E46" s="15"/>
      <c r="F46" s="15"/>
      <c r="G46" s="15"/>
      <c r="H46" s="15"/>
      <c r="I46" s="21"/>
    </row>
    <row r="47" spans="1:9" x14ac:dyDescent="0.2">
      <c r="A47" s="25"/>
      <c r="B47" s="26"/>
      <c r="C47" s="26"/>
      <c r="D47" s="26"/>
      <c r="E47" s="26"/>
      <c r="F47" s="26"/>
      <c r="G47" s="26"/>
      <c r="H47" s="26"/>
      <c r="I47" s="27"/>
    </row>
  </sheetData>
  <conditionalFormatting sqref="A2:I47">
    <cfRule type="expression" dxfId="43" priority="1">
      <formula>$E2="Done"</formula>
    </cfRule>
    <cfRule type="expression" dxfId="42" priority="2">
      <formula>$A2="bthm"</formula>
    </cfRule>
    <cfRule type="expression" dxfId="41" priority="3">
      <formula>$A2="mcs"</formula>
    </cfRule>
    <cfRule type="expression" dxfId="40" priority="4">
      <formula>$A2="public speaking"</formula>
    </cfRule>
    <cfRule type="expression" dxfId="39" priority="5">
      <formula>$A2="principles of microeconomics"</formula>
    </cfRule>
  </conditionalFormatting>
  <pageMargins left="0.7" right="0.7" top="0.75" bottom="0.75" header="0.3" footer="0.3"/>
  <pageSetup orientation="portrait" useFirstPageNumber="1" horizontalDpi="4294967295" verticalDpi="429496729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FDBA3-24EE-A64D-9CE1-8CD4E3D59094}">
  <sheetPr codeName="Sheet11"/>
  <dimension ref="A1:F47"/>
  <sheetViews>
    <sheetView zoomScale="180" zoomScaleNormal="180" workbookViewId="0">
      <pane ySplit="1" topLeftCell="A2" activePane="bottomLeft" state="frozen"/>
      <selection pane="bottomLeft" activeCell="A7" sqref="A7"/>
    </sheetView>
  </sheetViews>
  <sheetFormatPr baseColWidth="10" defaultColWidth="8.83203125" defaultRowHeight="15" x14ac:dyDescent="0.2"/>
  <cols>
    <col min="1" max="1" width="19.6640625" bestFit="1" customWidth="1"/>
    <col min="2" max="6" width="12" customWidth="1"/>
  </cols>
  <sheetData>
    <row r="1" spans="1:6" ht="22" customHeight="1" x14ac:dyDescent="0.2">
      <c r="A1" s="1" t="s">
        <v>17</v>
      </c>
      <c r="B1" s="1" t="s">
        <v>28</v>
      </c>
      <c r="C1" s="1" t="s">
        <v>8</v>
      </c>
      <c r="D1" s="1" t="s">
        <v>37</v>
      </c>
      <c r="E1" s="1" t="s">
        <v>10</v>
      </c>
      <c r="F1" s="1" t="s">
        <v>13</v>
      </c>
    </row>
    <row r="2" spans="1:6" ht="19" x14ac:dyDescent="0.25">
      <c r="A2" s="32" t="str" cm="1">
        <f t="array" ref="A2">IFERROR(_xlfn.SORTBY(_xlfn._xlws.FILTER(Tasks!A2:H1000,(Tasks!B2:B1000&lt;&gt;"")*(Tasks!E2:E1000&lt;&gt;"Done")*(Tasks!E2:E1000&lt;&gt;"Finished")),_xlfn._xlws.FILTER(Tasks!C2:C1000,(Tasks!B2:B1000&lt;&gt;"")*(Tasks!E2:E1000&lt;&gt;"Done")*(Tasks!E2:E1000&lt;&gt;"Finished")),1),"No unfinished tasks")</f>
        <v>No unfinished tasks</v>
      </c>
      <c r="B2" s="30"/>
      <c r="C2" s="30"/>
      <c r="D2" s="30"/>
      <c r="E2" s="30"/>
      <c r="F2" s="31"/>
    </row>
    <row r="3" spans="1:6" x14ac:dyDescent="0.2">
      <c r="A3" s="16"/>
      <c r="B3" s="16"/>
      <c r="C3" s="16"/>
      <c r="D3" s="16"/>
      <c r="E3" s="16"/>
      <c r="F3" s="16"/>
    </row>
    <row r="4" spans="1:6" x14ac:dyDescent="0.2">
      <c r="A4" s="30"/>
      <c r="B4" s="30"/>
      <c r="C4" s="30"/>
      <c r="D4" s="30"/>
      <c r="E4" s="30"/>
      <c r="F4" s="30"/>
    </row>
    <row r="5" spans="1:6" x14ac:dyDescent="0.2">
      <c r="A5" s="16"/>
      <c r="B5" s="16"/>
      <c r="C5" s="16"/>
      <c r="D5" s="16"/>
      <c r="E5" s="16"/>
      <c r="F5" s="16"/>
    </row>
    <row r="6" spans="1:6" x14ac:dyDescent="0.2">
      <c r="A6" s="30"/>
      <c r="B6" s="30"/>
      <c r="C6" s="30"/>
      <c r="D6" s="30"/>
      <c r="E6" s="30"/>
      <c r="F6" s="30"/>
    </row>
    <row r="7" spans="1:6" x14ac:dyDescent="0.2">
      <c r="A7" s="16"/>
      <c r="B7" s="16"/>
      <c r="C7" s="16"/>
      <c r="D7" s="16"/>
      <c r="E7" s="16"/>
      <c r="F7" s="16"/>
    </row>
    <row r="8" spans="1:6" x14ac:dyDescent="0.2">
      <c r="A8" s="30"/>
      <c r="B8" s="30"/>
      <c r="C8" s="30"/>
      <c r="D8" s="30"/>
      <c r="E8" s="30"/>
      <c r="F8" s="30"/>
    </row>
    <row r="9" spans="1:6" x14ac:dyDescent="0.2">
      <c r="A9" s="16"/>
      <c r="B9" s="16"/>
      <c r="C9" s="16"/>
      <c r="D9" s="16"/>
      <c r="E9" s="16"/>
      <c r="F9" s="16"/>
    </row>
    <row r="10" spans="1:6" x14ac:dyDescent="0.2">
      <c r="A10" s="30"/>
      <c r="B10" s="30"/>
      <c r="C10" s="30"/>
      <c r="D10" s="30"/>
      <c r="E10" s="30"/>
      <c r="F10" s="30"/>
    </row>
    <row r="11" spans="1:6" x14ac:dyDescent="0.2">
      <c r="A11" s="16"/>
      <c r="B11" s="16"/>
      <c r="C11" s="16"/>
      <c r="D11" s="16"/>
      <c r="E11" s="16"/>
      <c r="F11" s="16"/>
    </row>
    <row r="12" spans="1:6" x14ac:dyDescent="0.2">
      <c r="A12" s="30"/>
      <c r="B12" s="30"/>
      <c r="C12" s="30"/>
      <c r="D12" s="30"/>
      <c r="E12" s="30"/>
      <c r="F12" s="30"/>
    </row>
    <row r="13" spans="1:6" x14ac:dyDescent="0.2">
      <c r="A13" s="16"/>
      <c r="B13" s="16"/>
      <c r="C13" s="16"/>
      <c r="D13" s="16"/>
      <c r="E13" s="16"/>
      <c r="F13" s="16"/>
    </row>
    <row r="14" spans="1:6" x14ac:dyDescent="0.2">
      <c r="A14" s="30"/>
      <c r="B14" s="30"/>
      <c r="C14" s="30"/>
      <c r="D14" s="30"/>
      <c r="E14" s="30"/>
      <c r="F14" s="30"/>
    </row>
    <row r="15" spans="1:6" x14ac:dyDescent="0.2">
      <c r="A15" s="16"/>
      <c r="B15" s="16"/>
      <c r="C15" s="16"/>
      <c r="D15" s="16"/>
      <c r="E15" s="16"/>
      <c r="F15" s="16"/>
    </row>
    <row r="16" spans="1:6" x14ac:dyDescent="0.2">
      <c r="A16" s="30"/>
      <c r="B16" s="30"/>
      <c r="C16" s="30"/>
      <c r="D16" s="30"/>
      <c r="E16" s="30"/>
      <c r="F16" s="30"/>
    </row>
    <row r="17" spans="1:6" x14ac:dyDescent="0.2">
      <c r="A17" s="16"/>
      <c r="B17" s="16"/>
      <c r="C17" s="16"/>
      <c r="D17" s="16"/>
      <c r="E17" s="16"/>
      <c r="F17" s="16"/>
    </row>
    <row r="18" spans="1:6" x14ac:dyDescent="0.2">
      <c r="A18" s="30"/>
      <c r="B18" s="30"/>
      <c r="C18" s="30"/>
      <c r="D18" s="30"/>
      <c r="E18" s="30"/>
      <c r="F18" s="30"/>
    </row>
    <row r="19" spans="1:6" x14ac:dyDescent="0.2">
      <c r="A19" s="16"/>
      <c r="B19" s="16"/>
      <c r="C19" s="16"/>
      <c r="D19" s="16"/>
      <c r="E19" s="16"/>
      <c r="F19" s="16"/>
    </row>
    <row r="20" spans="1:6" x14ac:dyDescent="0.2">
      <c r="A20" s="30"/>
      <c r="B20" s="30"/>
      <c r="C20" s="30"/>
      <c r="D20" s="30"/>
      <c r="E20" s="30"/>
      <c r="F20" s="30"/>
    </row>
    <row r="21" spans="1:6" x14ac:dyDescent="0.2">
      <c r="A21" s="16"/>
      <c r="B21" s="16"/>
      <c r="C21" s="16"/>
      <c r="D21" s="16"/>
      <c r="E21" s="16"/>
      <c r="F21" s="16"/>
    </row>
    <row r="22" spans="1:6" x14ac:dyDescent="0.2">
      <c r="A22" s="30"/>
      <c r="B22" s="30"/>
      <c r="C22" s="30"/>
      <c r="D22" s="30"/>
      <c r="E22" s="30"/>
      <c r="F22" s="30"/>
    </row>
    <row r="23" spans="1:6" x14ac:dyDescent="0.2">
      <c r="A23" s="16"/>
      <c r="B23" s="16"/>
      <c r="C23" s="16"/>
      <c r="D23" s="16"/>
      <c r="E23" s="16"/>
      <c r="F23" s="16"/>
    </row>
    <row r="24" spans="1:6" x14ac:dyDescent="0.2">
      <c r="A24" s="30"/>
      <c r="B24" s="30"/>
      <c r="C24" s="30"/>
      <c r="D24" s="30"/>
      <c r="E24" s="30"/>
      <c r="F24" s="30"/>
    </row>
    <row r="25" spans="1:6" x14ac:dyDescent="0.2">
      <c r="A25" s="16"/>
      <c r="B25" s="16"/>
      <c r="C25" s="16"/>
      <c r="D25" s="16"/>
      <c r="E25" s="16"/>
      <c r="F25" s="16"/>
    </row>
    <row r="26" spans="1:6" x14ac:dyDescent="0.2">
      <c r="A26" s="30"/>
      <c r="B26" s="30"/>
      <c r="C26" s="30"/>
      <c r="D26" s="30"/>
      <c r="E26" s="30"/>
      <c r="F26" s="30"/>
    </row>
    <row r="27" spans="1:6" x14ac:dyDescent="0.2">
      <c r="A27" s="16"/>
      <c r="B27" s="16"/>
      <c r="C27" s="16"/>
      <c r="D27" s="16"/>
      <c r="E27" s="16"/>
      <c r="F27" s="16"/>
    </row>
    <row r="28" spans="1:6" x14ac:dyDescent="0.2">
      <c r="A28" s="30"/>
      <c r="B28" s="30"/>
      <c r="C28" s="30"/>
      <c r="D28" s="30"/>
      <c r="E28" s="30"/>
      <c r="F28" s="30"/>
    </row>
    <row r="29" spans="1:6" x14ac:dyDescent="0.2">
      <c r="A29" s="16"/>
      <c r="B29" s="16"/>
      <c r="C29" s="16"/>
      <c r="D29" s="16"/>
      <c r="E29" s="16"/>
      <c r="F29" s="16"/>
    </row>
    <row r="30" spans="1:6" x14ac:dyDescent="0.2">
      <c r="A30" s="30"/>
      <c r="B30" s="30"/>
      <c r="C30" s="30"/>
      <c r="D30" s="30"/>
      <c r="E30" s="30"/>
      <c r="F30" s="30"/>
    </row>
    <row r="31" spans="1:6" x14ac:dyDescent="0.2">
      <c r="A31" s="16"/>
      <c r="B31" s="16"/>
      <c r="C31" s="16"/>
      <c r="D31" s="16"/>
      <c r="E31" s="16"/>
      <c r="F31" s="16"/>
    </row>
    <row r="32" spans="1:6" x14ac:dyDescent="0.2">
      <c r="A32" s="30"/>
      <c r="B32" s="30"/>
      <c r="C32" s="30"/>
      <c r="D32" s="30"/>
      <c r="E32" s="30"/>
      <c r="F32" s="30"/>
    </row>
    <row r="33" spans="1:6" x14ac:dyDescent="0.2">
      <c r="A33" s="16"/>
      <c r="B33" s="16"/>
      <c r="C33" s="16"/>
      <c r="D33" s="16"/>
      <c r="E33" s="16"/>
      <c r="F33" s="16"/>
    </row>
    <row r="34" spans="1:6" x14ac:dyDescent="0.2">
      <c r="A34" s="30"/>
      <c r="B34" s="30"/>
      <c r="C34" s="30"/>
      <c r="D34" s="30"/>
      <c r="E34" s="30"/>
      <c r="F34" s="30"/>
    </row>
    <row r="35" spans="1:6" x14ac:dyDescent="0.2">
      <c r="A35" s="16"/>
      <c r="B35" s="16"/>
      <c r="C35" s="16"/>
      <c r="D35" s="16"/>
      <c r="E35" s="16"/>
      <c r="F35" s="16"/>
    </row>
    <row r="36" spans="1:6" x14ac:dyDescent="0.2">
      <c r="A36" s="30"/>
      <c r="B36" s="30"/>
      <c r="C36" s="30"/>
      <c r="D36" s="30"/>
      <c r="E36" s="30"/>
      <c r="F36" s="30"/>
    </row>
    <row r="37" spans="1:6" x14ac:dyDescent="0.2">
      <c r="A37" s="16"/>
      <c r="B37" s="16"/>
      <c r="C37" s="16"/>
      <c r="D37" s="16"/>
      <c r="E37" s="16"/>
      <c r="F37" s="16"/>
    </row>
    <row r="38" spans="1:6" x14ac:dyDescent="0.2">
      <c r="A38" s="30"/>
      <c r="B38" s="30"/>
      <c r="C38" s="30"/>
      <c r="D38" s="30"/>
      <c r="E38" s="30"/>
      <c r="F38" s="30"/>
    </row>
    <row r="39" spans="1:6" x14ac:dyDescent="0.2">
      <c r="A39" s="16"/>
      <c r="B39" s="16"/>
      <c r="C39" s="16"/>
      <c r="D39" s="16"/>
      <c r="E39" s="16"/>
      <c r="F39" s="16"/>
    </row>
    <row r="40" spans="1:6" x14ac:dyDescent="0.2">
      <c r="A40" s="30"/>
      <c r="B40" s="30"/>
      <c r="C40" s="30"/>
      <c r="D40" s="30"/>
      <c r="E40" s="30"/>
      <c r="F40" s="30"/>
    </row>
    <row r="41" spans="1:6" x14ac:dyDescent="0.2">
      <c r="A41" s="16"/>
      <c r="B41" s="16"/>
      <c r="C41" s="16"/>
      <c r="D41" s="16"/>
      <c r="E41" s="16"/>
      <c r="F41" s="16"/>
    </row>
    <row r="42" spans="1:6" x14ac:dyDescent="0.2">
      <c r="A42" s="30"/>
      <c r="B42" s="30"/>
      <c r="C42" s="30"/>
      <c r="D42" s="30"/>
      <c r="E42" s="30"/>
      <c r="F42" s="30"/>
    </row>
    <row r="43" spans="1:6" x14ac:dyDescent="0.2">
      <c r="A43" s="16"/>
      <c r="B43" s="16"/>
      <c r="C43" s="16"/>
      <c r="D43" s="16"/>
      <c r="E43" s="16"/>
      <c r="F43" s="16"/>
    </row>
    <row r="44" spans="1:6" x14ac:dyDescent="0.2">
      <c r="A44" s="30"/>
      <c r="B44" s="30"/>
      <c r="C44" s="30"/>
      <c r="D44" s="30"/>
      <c r="E44" s="30"/>
      <c r="F44" s="30"/>
    </row>
    <row r="45" spans="1:6" x14ac:dyDescent="0.2">
      <c r="A45" s="16"/>
      <c r="B45" s="16"/>
      <c r="C45" s="16"/>
      <c r="D45" s="16"/>
      <c r="E45" s="16"/>
      <c r="F45" s="16"/>
    </row>
    <row r="46" spans="1:6" x14ac:dyDescent="0.2">
      <c r="A46" s="30"/>
      <c r="B46" s="30"/>
      <c r="C46" s="30"/>
      <c r="D46" s="30"/>
      <c r="E46" s="30"/>
      <c r="F46" s="30"/>
    </row>
    <row r="47" spans="1:6" x14ac:dyDescent="0.2">
      <c r="A47" s="26"/>
      <c r="B47" s="26"/>
      <c r="C47" s="26"/>
      <c r="D47" s="26"/>
      <c r="E47" s="26"/>
      <c r="F47" s="26"/>
    </row>
  </sheetData>
  <conditionalFormatting sqref="A2:F47">
    <cfRule type="expression" dxfId="38" priority="1">
      <formula>$E2="Done"</formula>
    </cfRule>
    <cfRule type="expression" dxfId="37" priority="2">
      <formula>$A2="bthm"</formula>
    </cfRule>
    <cfRule type="expression" dxfId="36" priority="3">
      <formula>$A2="mcs"</formula>
    </cfRule>
    <cfRule type="expression" dxfId="35" priority="4">
      <formula>$A2="public speaking"</formula>
    </cfRule>
    <cfRule type="expression" dxfId="34" priority="5">
      <formula>$A2="principles of microeconomics"</formula>
    </cfRule>
  </conditionalFormatting>
  <pageMargins left="0.7" right="0.7" top="0.75" bottom="0.75" header="0.3" footer="0.3"/>
  <pageSetup orientation="portrait" useFirstPageNumber="1" horizontalDpi="4294967295" verticalDpi="429496729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D8BEB-72B1-B94C-9822-72C77C73FE37}">
  <sheetPr codeName="Sheet8"/>
  <dimension ref="A1:E47"/>
  <sheetViews>
    <sheetView zoomScale="178" zoomScaleNormal="178" workbookViewId="0">
      <pane ySplit="1" topLeftCell="A2" activePane="bottomLeft" state="frozen"/>
      <selection pane="bottomLeft" activeCell="H10" sqref="H10"/>
    </sheetView>
  </sheetViews>
  <sheetFormatPr baseColWidth="10" defaultColWidth="8.83203125" defaultRowHeight="15" x14ac:dyDescent="0.2"/>
  <cols>
    <col min="1" max="2" width="12" customWidth="1"/>
    <col min="3" max="3" width="14" customWidth="1"/>
    <col min="4" max="5" width="12" customWidth="1"/>
  </cols>
  <sheetData>
    <row r="1" spans="1:5" ht="22" customHeight="1" x14ac:dyDescent="0.2">
      <c r="A1" s="1" t="s">
        <v>17</v>
      </c>
      <c r="B1" s="1" t="s">
        <v>38</v>
      </c>
      <c r="C1" s="1" t="s">
        <v>39</v>
      </c>
      <c r="D1" s="1" t="s">
        <v>40</v>
      </c>
      <c r="E1" s="1" t="s">
        <v>13</v>
      </c>
    </row>
    <row r="2" spans="1:5" x14ac:dyDescent="0.2">
      <c r="A2" s="30"/>
      <c r="B2" s="30"/>
      <c r="C2" s="30"/>
      <c r="D2" s="30"/>
      <c r="E2" s="30"/>
    </row>
    <row r="3" spans="1:5" x14ac:dyDescent="0.2">
      <c r="A3" s="16"/>
      <c r="B3" s="16"/>
      <c r="C3" s="16"/>
      <c r="D3" s="16"/>
      <c r="E3" s="16"/>
    </row>
    <row r="4" spans="1:5" x14ac:dyDescent="0.2">
      <c r="A4" s="30"/>
      <c r="B4" s="30"/>
      <c r="C4" s="30"/>
      <c r="D4" s="30"/>
      <c r="E4" s="30"/>
    </row>
    <row r="5" spans="1:5" x14ac:dyDescent="0.2">
      <c r="A5" s="16"/>
      <c r="B5" s="16"/>
      <c r="C5" s="16"/>
      <c r="D5" s="16"/>
      <c r="E5" s="16"/>
    </row>
    <row r="6" spans="1:5" x14ac:dyDescent="0.2">
      <c r="A6" s="30"/>
      <c r="B6" s="30"/>
      <c r="C6" s="30"/>
      <c r="D6" s="30"/>
      <c r="E6" s="30"/>
    </row>
    <row r="7" spans="1:5" x14ac:dyDescent="0.2">
      <c r="A7" s="16"/>
      <c r="B7" s="16"/>
      <c r="C7" s="16"/>
      <c r="D7" s="16"/>
      <c r="E7" s="16"/>
    </row>
    <row r="8" spans="1:5" x14ac:dyDescent="0.2">
      <c r="A8" s="30"/>
      <c r="B8" s="30"/>
      <c r="C8" s="30"/>
      <c r="D8" s="30"/>
      <c r="E8" s="30"/>
    </row>
    <row r="9" spans="1:5" x14ac:dyDescent="0.2">
      <c r="A9" s="16"/>
      <c r="B9" s="16"/>
      <c r="C9" s="16"/>
      <c r="D9" s="16"/>
      <c r="E9" s="16"/>
    </row>
    <row r="10" spans="1:5" x14ac:dyDescent="0.2">
      <c r="A10" s="30"/>
      <c r="B10" s="30"/>
      <c r="C10" s="30"/>
      <c r="D10" s="30"/>
      <c r="E10" s="30"/>
    </row>
    <row r="11" spans="1:5" x14ac:dyDescent="0.2">
      <c r="A11" s="16"/>
      <c r="B11" s="16"/>
      <c r="C11" s="16"/>
      <c r="D11" s="16"/>
      <c r="E11" s="16"/>
    </row>
    <row r="12" spans="1:5" x14ac:dyDescent="0.2">
      <c r="A12" s="30"/>
      <c r="B12" s="30"/>
      <c r="C12" s="30"/>
      <c r="D12" s="30"/>
      <c r="E12" s="30"/>
    </row>
    <row r="13" spans="1:5" x14ac:dyDescent="0.2">
      <c r="A13" s="16"/>
      <c r="B13" s="16"/>
      <c r="C13" s="16"/>
      <c r="D13" s="16"/>
      <c r="E13" s="16"/>
    </row>
    <row r="14" spans="1:5" x14ac:dyDescent="0.2">
      <c r="A14" s="30"/>
      <c r="B14" s="30"/>
      <c r="C14" s="30"/>
      <c r="D14" s="30"/>
      <c r="E14" s="30"/>
    </row>
    <row r="15" spans="1:5" x14ac:dyDescent="0.2">
      <c r="A15" s="16"/>
      <c r="B15" s="16"/>
      <c r="C15" s="16"/>
      <c r="D15" s="16"/>
      <c r="E15" s="16"/>
    </row>
    <row r="16" spans="1:5" x14ac:dyDescent="0.2">
      <c r="A16" s="30"/>
      <c r="B16" s="30"/>
      <c r="C16" s="30"/>
      <c r="D16" s="30"/>
      <c r="E16" s="30"/>
    </row>
    <row r="17" spans="1:5" x14ac:dyDescent="0.2">
      <c r="A17" s="16"/>
      <c r="B17" s="16"/>
      <c r="C17" s="16"/>
      <c r="D17" s="16"/>
      <c r="E17" s="16"/>
    </row>
    <row r="18" spans="1:5" x14ac:dyDescent="0.2">
      <c r="A18" s="30"/>
      <c r="B18" s="30"/>
      <c r="C18" s="30"/>
      <c r="D18" s="30"/>
      <c r="E18" s="30"/>
    </row>
    <row r="19" spans="1:5" x14ac:dyDescent="0.2">
      <c r="A19" s="16"/>
      <c r="B19" s="16"/>
      <c r="C19" s="16"/>
      <c r="D19" s="16"/>
      <c r="E19" s="16"/>
    </row>
    <row r="20" spans="1:5" x14ac:dyDescent="0.2">
      <c r="A20" s="30"/>
      <c r="B20" s="30"/>
      <c r="C20" s="30"/>
      <c r="D20" s="30"/>
      <c r="E20" s="30"/>
    </row>
    <row r="21" spans="1:5" x14ac:dyDescent="0.2">
      <c r="A21" s="16"/>
      <c r="B21" s="16"/>
      <c r="C21" s="16"/>
      <c r="D21" s="16"/>
      <c r="E21" s="16"/>
    </row>
    <row r="22" spans="1:5" x14ac:dyDescent="0.2">
      <c r="A22" s="30"/>
      <c r="B22" s="30"/>
      <c r="C22" s="30"/>
      <c r="D22" s="30"/>
      <c r="E22" s="30"/>
    </row>
    <row r="23" spans="1:5" x14ac:dyDescent="0.2">
      <c r="A23" s="16"/>
      <c r="B23" s="16"/>
      <c r="C23" s="16"/>
      <c r="D23" s="16"/>
      <c r="E23" s="16"/>
    </row>
    <row r="24" spans="1:5" x14ac:dyDescent="0.2">
      <c r="A24" s="30"/>
      <c r="B24" s="30"/>
      <c r="C24" s="30"/>
      <c r="D24" s="30"/>
      <c r="E24" s="30"/>
    </row>
    <row r="25" spans="1:5" x14ac:dyDescent="0.2">
      <c r="A25" s="16"/>
      <c r="B25" s="16"/>
      <c r="C25" s="16"/>
      <c r="D25" s="16"/>
      <c r="E25" s="16"/>
    </row>
    <row r="26" spans="1:5" x14ac:dyDescent="0.2">
      <c r="A26" s="30"/>
      <c r="B26" s="30"/>
      <c r="C26" s="30"/>
      <c r="D26" s="30"/>
      <c r="E26" s="30"/>
    </row>
    <row r="27" spans="1:5" x14ac:dyDescent="0.2">
      <c r="A27" s="16"/>
      <c r="B27" s="16"/>
      <c r="C27" s="16"/>
      <c r="D27" s="16"/>
      <c r="E27" s="16"/>
    </row>
    <row r="28" spans="1:5" x14ac:dyDescent="0.2">
      <c r="A28" s="30"/>
      <c r="B28" s="30"/>
      <c r="C28" s="30"/>
      <c r="D28" s="30"/>
      <c r="E28" s="30"/>
    </row>
    <row r="29" spans="1:5" x14ac:dyDescent="0.2">
      <c r="A29" s="16"/>
      <c r="B29" s="16"/>
      <c r="C29" s="16"/>
      <c r="D29" s="16"/>
      <c r="E29" s="16"/>
    </row>
    <row r="30" spans="1:5" x14ac:dyDescent="0.2">
      <c r="A30" s="30"/>
      <c r="B30" s="30"/>
      <c r="C30" s="30"/>
      <c r="D30" s="30"/>
      <c r="E30" s="30"/>
    </row>
    <row r="31" spans="1:5" x14ac:dyDescent="0.2">
      <c r="A31" s="16"/>
      <c r="B31" s="16"/>
      <c r="C31" s="16"/>
      <c r="D31" s="16"/>
      <c r="E31" s="16"/>
    </row>
    <row r="32" spans="1:5" x14ac:dyDescent="0.2">
      <c r="A32" s="30"/>
      <c r="B32" s="30"/>
      <c r="C32" s="30"/>
      <c r="D32" s="30"/>
      <c r="E32" s="30"/>
    </row>
    <row r="33" spans="1:5" x14ac:dyDescent="0.2">
      <c r="A33" s="16"/>
      <c r="B33" s="16"/>
      <c r="C33" s="16"/>
      <c r="D33" s="16"/>
      <c r="E33" s="16"/>
    </row>
    <row r="34" spans="1:5" x14ac:dyDescent="0.2">
      <c r="A34" s="30"/>
      <c r="B34" s="30"/>
      <c r="C34" s="30"/>
      <c r="D34" s="30"/>
      <c r="E34" s="30"/>
    </row>
    <row r="35" spans="1:5" x14ac:dyDescent="0.2">
      <c r="A35" s="16"/>
      <c r="B35" s="16"/>
      <c r="C35" s="16"/>
      <c r="D35" s="16"/>
      <c r="E35" s="16"/>
    </row>
    <row r="36" spans="1:5" x14ac:dyDescent="0.2">
      <c r="A36" s="30"/>
      <c r="B36" s="30"/>
      <c r="C36" s="30"/>
      <c r="D36" s="30"/>
      <c r="E36" s="30"/>
    </row>
    <row r="37" spans="1:5" x14ac:dyDescent="0.2">
      <c r="A37" s="16"/>
      <c r="B37" s="16"/>
      <c r="C37" s="16"/>
      <c r="D37" s="16"/>
      <c r="E37" s="16"/>
    </row>
    <row r="38" spans="1:5" x14ac:dyDescent="0.2">
      <c r="A38" s="30"/>
      <c r="B38" s="30"/>
      <c r="C38" s="30"/>
      <c r="D38" s="30"/>
      <c r="E38" s="30"/>
    </row>
    <row r="39" spans="1:5" x14ac:dyDescent="0.2">
      <c r="A39" s="16"/>
      <c r="B39" s="16"/>
      <c r="C39" s="16"/>
      <c r="D39" s="16"/>
      <c r="E39" s="16"/>
    </row>
    <row r="40" spans="1:5" x14ac:dyDescent="0.2">
      <c r="A40" s="30"/>
      <c r="B40" s="30"/>
      <c r="C40" s="30"/>
      <c r="D40" s="30"/>
      <c r="E40" s="30"/>
    </row>
    <row r="41" spans="1:5" x14ac:dyDescent="0.2">
      <c r="A41" s="16"/>
      <c r="B41" s="16"/>
      <c r="C41" s="16"/>
      <c r="D41" s="16"/>
      <c r="E41" s="16"/>
    </row>
    <row r="42" spans="1:5" x14ac:dyDescent="0.2">
      <c r="A42" s="30"/>
      <c r="B42" s="30"/>
      <c r="C42" s="30"/>
      <c r="D42" s="30"/>
      <c r="E42" s="30"/>
    </row>
    <row r="43" spans="1:5" x14ac:dyDescent="0.2">
      <c r="A43" s="16"/>
      <c r="B43" s="16"/>
      <c r="C43" s="16"/>
      <c r="D43" s="16"/>
      <c r="E43" s="16"/>
    </row>
    <row r="44" spans="1:5" x14ac:dyDescent="0.2">
      <c r="A44" s="30"/>
      <c r="B44" s="30"/>
      <c r="C44" s="30"/>
      <c r="D44" s="30"/>
      <c r="E44" s="30"/>
    </row>
    <row r="45" spans="1:5" x14ac:dyDescent="0.2">
      <c r="A45" s="16"/>
      <c r="B45" s="16"/>
      <c r="C45" s="16"/>
      <c r="D45" s="16"/>
      <c r="E45" s="16"/>
    </row>
    <row r="46" spans="1:5" x14ac:dyDescent="0.2">
      <c r="A46" s="30"/>
      <c r="B46" s="30"/>
      <c r="C46" s="30"/>
      <c r="D46" s="30"/>
      <c r="E46" s="30"/>
    </row>
    <row r="47" spans="1:5" x14ac:dyDescent="0.2">
      <c r="A47" s="26"/>
      <c r="B47" s="26"/>
      <c r="C47" s="26"/>
      <c r="D47" s="26"/>
      <c r="E47" s="26"/>
    </row>
  </sheetData>
  <conditionalFormatting sqref="A2:E47">
    <cfRule type="expression" dxfId="33" priority="1">
      <formula>$E2="Done"</formula>
    </cfRule>
    <cfRule type="expression" dxfId="32" priority="2">
      <formula>$A2="bthm"</formula>
    </cfRule>
    <cfRule type="expression" dxfId="31" priority="3">
      <formula>$A2="mcs"</formula>
    </cfRule>
    <cfRule type="expression" dxfId="30" priority="4">
      <formula>$A2="public speaking"</formula>
    </cfRule>
    <cfRule type="expression" dxfId="29" priority="5">
      <formula>$A2="principles of microeconomics"</formula>
    </cfRule>
  </conditionalFormatting>
  <pageMargins left="0.7" right="0.7" top="0.75" bottom="0.75" header="0.3" footer="0.3"/>
  <pageSetup orientation="portrait" useFirstPageNumber="1" horizontalDpi="4294967295" verticalDpi="429496729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H1"/>
  <sheetViews>
    <sheetView zoomScale="145" zoomScaleNormal="145" workbookViewId="0">
      <pane ySplit="1" topLeftCell="A2" activePane="bottomLeft" state="frozen"/>
      <selection pane="bottomLeft" activeCell="C18" sqref="C18"/>
    </sheetView>
  </sheetViews>
  <sheetFormatPr baseColWidth="10" defaultColWidth="8.83203125" defaultRowHeight="15" x14ac:dyDescent="0.2"/>
  <cols>
    <col min="1" max="1" width="12" customWidth="1"/>
    <col min="2" max="2" width="15" customWidth="1"/>
    <col min="3" max="4" width="12" customWidth="1"/>
    <col min="5" max="5" width="15" customWidth="1"/>
    <col min="6" max="6" width="16" customWidth="1"/>
    <col min="7" max="7" width="17" customWidth="1"/>
    <col min="8" max="8" width="12" customWidth="1"/>
  </cols>
  <sheetData>
    <row r="1" spans="1:8" ht="22" customHeight="1" x14ac:dyDescent="0.2">
      <c r="A1" s="1" t="s">
        <v>38</v>
      </c>
      <c r="B1" s="1" t="s">
        <v>41</v>
      </c>
      <c r="C1" s="1" t="s">
        <v>42</v>
      </c>
      <c r="D1" s="1" t="s">
        <v>43</v>
      </c>
      <c r="E1" s="1" t="s">
        <v>44</v>
      </c>
      <c r="F1" s="1" t="s">
        <v>45</v>
      </c>
      <c r="G1" s="1" t="s">
        <v>46</v>
      </c>
      <c r="H1" s="1" t="s">
        <v>13</v>
      </c>
    </row>
  </sheetData>
  <pageMargins left="0.7" right="0.7" top="0.75" bottom="0.75" header="0.3" footer="0.3"/>
  <pageSetup orientation="portrait" useFirstPageNumber="1" horizontalDpi="4294967295" verticalDpi="429496729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E47"/>
  <sheetViews>
    <sheetView zoomScale="178" zoomScaleNormal="178" workbookViewId="0">
      <pane ySplit="1" topLeftCell="A2" activePane="bottomLeft" state="frozen"/>
      <selection pane="bottomLeft" activeCell="H12" sqref="H12"/>
    </sheetView>
  </sheetViews>
  <sheetFormatPr baseColWidth="10" defaultColWidth="8.83203125" defaultRowHeight="15" x14ac:dyDescent="0.2"/>
  <cols>
    <col min="1" max="2" width="12" customWidth="1"/>
    <col min="3" max="3" width="16.1640625" bestFit="1" customWidth="1"/>
    <col min="4" max="4" width="15.1640625" bestFit="1" customWidth="1"/>
    <col min="5" max="5" width="12" customWidth="1"/>
  </cols>
  <sheetData>
    <row r="1" spans="1:5" ht="22" customHeight="1" x14ac:dyDescent="0.2">
      <c r="A1" s="1" t="s">
        <v>17</v>
      </c>
      <c r="B1" s="1" t="s">
        <v>38</v>
      </c>
      <c r="C1" s="1" t="s">
        <v>39</v>
      </c>
      <c r="D1" s="1" t="s">
        <v>40</v>
      </c>
      <c r="E1" s="1" t="s">
        <v>13</v>
      </c>
    </row>
    <row r="2" spans="1:5" x14ac:dyDescent="0.2">
      <c r="A2" s="30"/>
      <c r="B2" s="30"/>
      <c r="C2" s="30"/>
      <c r="D2" s="30"/>
      <c r="E2" s="30"/>
    </row>
    <row r="3" spans="1:5" x14ac:dyDescent="0.2">
      <c r="A3" s="16"/>
      <c r="B3" s="16"/>
      <c r="C3" s="16"/>
      <c r="D3" s="16"/>
      <c r="E3" s="16"/>
    </row>
    <row r="4" spans="1:5" x14ac:dyDescent="0.2">
      <c r="A4" s="30"/>
      <c r="B4" s="30"/>
      <c r="C4" s="30"/>
      <c r="D4" s="30"/>
      <c r="E4" s="30"/>
    </row>
    <row r="5" spans="1:5" x14ac:dyDescent="0.2">
      <c r="A5" s="16"/>
      <c r="B5" s="16"/>
      <c r="C5" s="16"/>
      <c r="D5" s="16"/>
      <c r="E5" s="16"/>
    </row>
    <row r="6" spans="1:5" x14ac:dyDescent="0.2">
      <c r="A6" s="30"/>
      <c r="B6" s="30"/>
      <c r="C6" s="30"/>
      <c r="D6" s="30"/>
      <c r="E6" s="30"/>
    </row>
    <row r="7" spans="1:5" x14ac:dyDescent="0.2">
      <c r="A7" s="16"/>
      <c r="B7" s="16"/>
      <c r="C7" s="16"/>
      <c r="D7" s="16"/>
      <c r="E7" s="16"/>
    </row>
    <row r="8" spans="1:5" x14ac:dyDescent="0.2">
      <c r="A8" s="30"/>
      <c r="B8" s="30"/>
      <c r="C8" s="30"/>
      <c r="D8" s="30"/>
      <c r="E8" s="30"/>
    </row>
    <row r="9" spans="1:5" x14ac:dyDescent="0.2">
      <c r="A9" s="16"/>
      <c r="B9" s="16"/>
      <c r="C9" s="16"/>
      <c r="D9" s="16"/>
      <c r="E9" s="16"/>
    </row>
    <row r="10" spans="1:5" x14ac:dyDescent="0.2">
      <c r="A10" s="30"/>
      <c r="B10" s="30"/>
      <c r="C10" s="30"/>
      <c r="D10" s="30"/>
      <c r="E10" s="30"/>
    </row>
    <row r="11" spans="1:5" x14ac:dyDescent="0.2">
      <c r="A11" s="16"/>
      <c r="B11" s="16"/>
      <c r="C11" s="16"/>
      <c r="D11" s="16"/>
      <c r="E11" s="16"/>
    </row>
    <row r="12" spans="1:5" x14ac:dyDescent="0.2">
      <c r="A12" s="30"/>
      <c r="B12" s="30"/>
      <c r="C12" s="30"/>
      <c r="D12" s="30"/>
      <c r="E12" s="30"/>
    </row>
    <row r="13" spans="1:5" x14ac:dyDescent="0.2">
      <c r="A13" s="16"/>
      <c r="B13" s="16"/>
      <c r="C13" s="16"/>
      <c r="D13" s="16"/>
      <c r="E13" s="16"/>
    </row>
    <row r="14" spans="1:5" x14ac:dyDescent="0.2">
      <c r="A14" s="30"/>
      <c r="B14" s="30"/>
      <c r="C14" s="30"/>
      <c r="D14" s="30"/>
      <c r="E14" s="30"/>
    </row>
    <row r="15" spans="1:5" x14ac:dyDescent="0.2">
      <c r="A15" s="16"/>
      <c r="B15" s="16"/>
      <c r="C15" s="16"/>
      <c r="D15" s="16"/>
      <c r="E15" s="16"/>
    </row>
    <row r="16" spans="1:5" x14ac:dyDescent="0.2">
      <c r="A16" s="30"/>
      <c r="B16" s="30"/>
      <c r="C16" s="30"/>
      <c r="D16" s="30"/>
      <c r="E16" s="30"/>
    </row>
    <row r="17" spans="1:5" x14ac:dyDescent="0.2">
      <c r="A17" s="16"/>
      <c r="B17" s="16"/>
      <c r="C17" s="16"/>
      <c r="D17" s="16"/>
      <c r="E17" s="16"/>
    </row>
    <row r="18" spans="1:5" x14ac:dyDescent="0.2">
      <c r="A18" s="30"/>
      <c r="B18" s="30"/>
      <c r="C18" s="30"/>
      <c r="D18" s="30"/>
      <c r="E18" s="30"/>
    </row>
    <row r="19" spans="1:5" x14ac:dyDescent="0.2">
      <c r="A19" s="16"/>
      <c r="B19" s="16"/>
      <c r="C19" s="16"/>
      <c r="D19" s="16"/>
      <c r="E19" s="16"/>
    </row>
    <row r="20" spans="1:5" x14ac:dyDescent="0.2">
      <c r="A20" s="30"/>
      <c r="B20" s="30"/>
      <c r="C20" s="30"/>
      <c r="D20" s="30"/>
      <c r="E20" s="30"/>
    </row>
    <row r="21" spans="1:5" x14ac:dyDescent="0.2">
      <c r="A21" s="16"/>
      <c r="B21" s="16"/>
      <c r="C21" s="16"/>
      <c r="D21" s="16"/>
      <c r="E21" s="16"/>
    </row>
    <row r="22" spans="1:5" x14ac:dyDescent="0.2">
      <c r="A22" s="30"/>
      <c r="B22" s="30"/>
      <c r="C22" s="30"/>
      <c r="D22" s="30"/>
      <c r="E22" s="30"/>
    </row>
    <row r="23" spans="1:5" x14ac:dyDescent="0.2">
      <c r="A23" s="16"/>
      <c r="B23" s="16"/>
      <c r="C23" s="16"/>
      <c r="D23" s="16"/>
      <c r="E23" s="16"/>
    </row>
    <row r="24" spans="1:5" x14ac:dyDescent="0.2">
      <c r="A24" s="30"/>
      <c r="B24" s="30"/>
      <c r="C24" s="30"/>
      <c r="D24" s="30"/>
      <c r="E24" s="30"/>
    </row>
    <row r="25" spans="1:5" x14ac:dyDescent="0.2">
      <c r="A25" s="16"/>
      <c r="B25" s="16"/>
      <c r="C25" s="16"/>
      <c r="D25" s="16"/>
      <c r="E25" s="16"/>
    </row>
    <row r="26" spans="1:5" x14ac:dyDescent="0.2">
      <c r="A26" s="30"/>
      <c r="B26" s="30"/>
      <c r="C26" s="30"/>
      <c r="D26" s="30"/>
      <c r="E26" s="30"/>
    </row>
    <row r="27" spans="1:5" x14ac:dyDescent="0.2">
      <c r="A27" s="16"/>
      <c r="B27" s="16"/>
      <c r="C27" s="16"/>
      <c r="D27" s="16"/>
      <c r="E27" s="16"/>
    </row>
    <row r="28" spans="1:5" x14ac:dyDescent="0.2">
      <c r="A28" s="30"/>
      <c r="B28" s="30"/>
      <c r="C28" s="30"/>
      <c r="D28" s="30"/>
      <c r="E28" s="30"/>
    </row>
    <row r="29" spans="1:5" x14ac:dyDescent="0.2">
      <c r="A29" s="16"/>
      <c r="B29" s="16"/>
      <c r="C29" s="16"/>
      <c r="D29" s="16"/>
      <c r="E29" s="16"/>
    </row>
    <row r="30" spans="1:5" x14ac:dyDescent="0.2">
      <c r="A30" s="30"/>
      <c r="B30" s="30"/>
      <c r="C30" s="30"/>
      <c r="D30" s="30"/>
      <c r="E30" s="30"/>
    </row>
    <row r="31" spans="1:5" x14ac:dyDescent="0.2">
      <c r="A31" s="16"/>
      <c r="B31" s="16"/>
      <c r="C31" s="16"/>
      <c r="D31" s="16"/>
      <c r="E31" s="16"/>
    </row>
    <row r="32" spans="1:5" x14ac:dyDescent="0.2">
      <c r="A32" s="30"/>
      <c r="B32" s="30"/>
      <c r="C32" s="30"/>
      <c r="D32" s="30"/>
      <c r="E32" s="30"/>
    </row>
    <row r="33" spans="1:5" x14ac:dyDescent="0.2">
      <c r="A33" s="16"/>
      <c r="B33" s="16"/>
      <c r="C33" s="16"/>
      <c r="D33" s="16"/>
      <c r="E33" s="16"/>
    </row>
    <row r="34" spans="1:5" x14ac:dyDescent="0.2">
      <c r="A34" s="30"/>
      <c r="B34" s="30"/>
      <c r="C34" s="30"/>
      <c r="D34" s="30"/>
      <c r="E34" s="30"/>
    </row>
    <row r="35" spans="1:5" x14ac:dyDescent="0.2">
      <c r="A35" s="16"/>
      <c r="B35" s="16"/>
      <c r="C35" s="16"/>
      <c r="D35" s="16"/>
      <c r="E35" s="16"/>
    </row>
    <row r="36" spans="1:5" x14ac:dyDescent="0.2">
      <c r="A36" s="30"/>
      <c r="B36" s="30"/>
      <c r="C36" s="30"/>
      <c r="D36" s="30"/>
      <c r="E36" s="30"/>
    </row>
    <row r="37" spans="1:5" x14ac:dyDescent="0.2">
      <c r="A37" s="16"/>
      <c r="B37" s="16"/>
      <c r="C37" s="16"/>
      <c r="D37" s="16"/>
      <c r="E37" s="16"/>
    </row>
    <row r="38" spans="1:5" x14ac:dyDescent="0.2">
      <c r="A38" s="30"/>
      <c r="B38" s="30"/>
      <c r="C38" s="30"/>
      <c r="D38" s="30"/>
      <c r="E38" s="30"/>
    </row>
    <row r="39" spans="1:5" x14ac:dyDescent="0.2">
      <c r="A39" s="16"/>
      <c r="B39" s="16"/>
      <c r="C39" s="16"/>
      <c r="D39" s="16"/>
      <c r="E39" s="16"/>
    </row>
    <row r="40" spans="1:5" x14ac:dyDescent="0.2">
      <c r="A40" s="30"/>
      <c r="B40" s="30"/>
      <c r="C40" s="30"/>
      <c r="D40" s="30"/>
      <c r="E40" s="30"/>
    </row>
    <row r="41" spans="1:5" x14ac:dyDescent="0.2">
      <c r="A41" s="16"/>
      <c r="B41" s="16"/>
      <c r="C41" s="16"/>
      <c r="D41" s="16"/>
      <c r="E41" s="16"/>
    </row>
    <row r="42" spans="1:5" x14ac:dyDescent="0.2">
      <c r="A42" s="30"/>
      <c r="B42" s="30"/>
      <c r="C42" s="30"/>
      <c r="D42" s="30"/>
      <c r="E42" s="30"/>
    </row>
    <row r="43" spans="1:5" x14ac:dyDescent="0.2">
      <c r="A43" s="16"/>
      <c r="B43" s="16"/>
      <c r="C43" s="16"/>
      <c r="D43" s="16"/>
      <c r="E43" s="16"/>
    </row>
    <row r="44" spans="1:5" x14ac:dyDescent="0.2">
      <c r="A44" s="30"/>
      <c r="B44" s="30"/>
      <c r="C44" s="30"/>
      <c r="D44" s="30"/>
      <c r="E44" s="30"/>
    </row>
    <row r="45" spans="1:5" x14ac:dyDescent="0.2">
      <c r="A45" s="16"/>
      <c r="B45" s="16"/>
      <c r="C45" s="16"/>
      <c r="D45" s="16"/>
      <c r="E45" s="16"/>
    </row>
    <row r="46" spans="1:5" x14ac:dyDescent="0.2">
      <c r="A46" s="30"/>
      <c r="B46" s="30"/>
      <c r="C46" s="30"/>
      <c r="D46" s="30"/>
      <c r="E46" s="30"/>
    </row>
    <row r="47" spans="1:5" x14ac:dyDescent="0.2">
      <c r="A47" s="26"/>
      <c r="B47" s="26"/>
      <c r="C47" s="26"/>
      <c r="D47" s="26"/>
      <c r="E47" s="26"/>
    </row>
  </sheetData>
  <conditionalFormatting sqref="A2:E47">
    <cfRule type="expression" dxfId="28" priority="1">
      <formula>$E2="Done"</formula>
    </cfRule>
    <cfRule type="expression" dxfId="27" priority="2">
      <formula>$A2="bthm"</formula>
    </cfRule>
    <cfRule type="expression" dxfId="26" priority="3">
      <formula>$A2="mcs"</formula>
    </cfRule>
    <cfRule type="expression" dxfId="25" priority="4">
      <formula>$A2="public speaking"</formula>
    </cfRule>
    <cfRule type="expression" dxfId="24" priority="5">
      <formula>$A2="principles of microeconomics"</formula>
    </cfRule>
  </conditionalFormatting>
  <pageMargins left="0.7" right="0.7" top="0.75" bottom="0.75" header="0.3" footer="0.3"/>
  <pageSetup orientation="portrait" useFirstPageNumber="1" horizontalDpi="4294967295" verticalDpi="4294967295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F47"/>
  <sheetViews>
    <sheetView zoomScale="180" zoomScaleNormal="180" workbookViewId="0">
      <pane ySplit="1" topLeftCell="A2" activePane="bottomLeft" state="frozen"/>
      <selection pane="bottomLeft" activeCell="H10" sqref="H10"/>
    </sheetView>
  </sheetViews>
  <sheetFormatPr baseColWidth="10" defaultColWidth="8.83203125" defaultRowHeight="15" x14ac:dyDescent="0.2"/>
  <cols>
    <col min="1" max="1" width="12" customWidth="1"/>
    <col min="2" max="2" width="14.33203125" customWidth="1"/>
    <col min="3" max="4" width="13.1640625" customWidth="1"/>
    <col min="5" max="6" width="12" customWidth="1"/>
  </cols>
  <sheetData>
    <row r="1" spans="1:6" ht="22" customHeight="1" x14ac:dyDescent="0.2">
      <c r="A1" s="1" t="s">
        <v>17</v>
      </c>
      <c r="B1" s="1" t="s">
        <v>28</v>
      </c>
      <c r="C1" s="1" t="s">
        <v>8</v>
      </c>
      <c r="D1" s="1" t="s">
        <v>37</v>
      </c>
      <c r="E1" s="1" t="s">
        <v>10</v>
      </c>
      <c r="F1" s="1" t="s">
        <v>13</v>
      </c>
    </row>
    <row r="2" spans="1:6" x14ac:dyDescent="0.2">
      <c r="A2" s="30"/>
      <c r="B2" s="30"/>
      <c r="C2" s="30"/>
      <c r="D2" s="30"/>
      <c r="E2" s="30"/>
      <c r="F2" s="31"/>
    </row>
    <row r="3" spans="1:6" x14ac:dyDescent="0.2">
      <c r="A3" s="16"/>
      <c r="B3" s="16"/>
      <c r="C3" s="16"/>
      <c r="D3" s="16"/>
      <c r="E3" s="16"/>
      <c r="F3" s="16"/>
    </row>
    <row r="4" spans="1:6" x14ac:dyDescent="0.2">
      <c r="A4" s="30"/>
      <c r="B4" s="30"/>
      <c r="C4" s="30"/>
      <c r="D4" s="30"/>
      <c r="E4" s="30"/>
      <c r="F4" s="30"/>
    </row>
    <row r="5" spans="1:6" x14ac:dyDescent="0.2">
      <c r="A5" s="16"/>
      <c r="B5" s="16"/>
      <c r="C5" s="16"/>
      <c r="D5" s="16"/>
      <c r="E5" s="16"/>
      <c r="F5" s="16"/>
    </row>
    <row r="6" spans="1:6" x14ac:dyDescent="0.2">
      <c r="A6" s="30"/>
      <c r="B6" s="30"/>
      <c r="C6" s="30"/>
      <c r="D6" s="30"/>
      <c r="E6" s="30"/>
      <c r="F6" s="30"/>
    </row>
    <row r="7" spans="1:6" x14ac:dyDescent="0.2">
      <c r="A7" s="16"/>
      <c r="B7" s="16"/>
      <c r="C7" s="16"/>
      <c r="D7" s="16"/>
      <c r="E7" s="16"/>
      <c r="F7" s="16"/>
    </row>
    <row r="8" spans="1:6" x14ac:dyDescent="0.2">
      <c r="A8" s="30"/>
      <c r="B8" s="30"/>
      <c r="C8" s="30"/>
      <c r="D8" s="30"/>
      <c r="E8" s="30"/>
      <c r="F8" s="30"/>
    </row>
    <row r="9" spans="1:6" x14ac:dyDescent="0.2">
      <c r="A9" s="16"/>
      <c r="B9" s="16"/>
      <c r="C9" s="16"/>
      <c r="D9" s="16"/>
      <c r="E9" s="16"/>
      <c r="F9" s="16"/>
    </row>
    <row r="10" spans="1:6" x14ac:dyDescent="0.2">
      <c r="A10" s="30"/>
      <c r="B10" s="30"/>
      <c r="C10" s="30"/>
      <c r="D10" s="30"/>
      <c r="E10" s="30"/>
      <c r="F10" s="30"/>
    </row>
    <row r="11" spans="1:6" x14ac:dyDescent="0.2">
      <c r="A11" s="16"/>
      <c r="B11" s="16"/>
      <c r="C11" s="16"/>
      <c r="D11" s="16"/>
      <c r="E11" s="16"/>
      <c r="F11" s="16"/>
    </row>
    <row r="12" spans="1:6" x14ac:dyDescent="0.2">
      <c r="A12" s="30"/>
      <c r="B12" s="30"/>
      <c r="C12" s="30"/>
      <c r="D12" s="30"/>
      <c r="E12" s="30"/>
      <c r="F12" s="30"/>
    </row>
    <row r="13" spans="1:6" x14ac:dyDescent="0.2">
      <c r="A13" s="16"/>
      <c r="B13" s="16"/>
      <c r="C13" s="16"/>
      <c r="D13" s="16"/>
      <c r="E13" s="16"/>
      <c r="F13" s="16"/>
    </row>
    <row r="14" spans="1:6" x14ac:dyDescent="0.2">
      <c r="A14" s="30"/>
      <c r="B14" s="30"/>
      <c r="C14" s="30"/>
      <c r="D14" s="30"/>
      <c r="E14" s="30"/>
      <c r="F14" s="30"/>
    </row>
    <row r="15" spans="1:6" x14ac:dyDescent="0.2">
      <c r="A15" s="16"/>
      <c r="B15" s="16"/>
      <c r="C15" s="16"/>
      <c r="D15" s="16"/>
      <c r="E15" s="16"/>
      <c r="F15" s="16"/>
    </row>
    <row r="16" spans="1:6" x14ac:dyDescent="0.2">
      <c r="A16" s="30"/>
      <c r="B16" s="30"/>
      <c r="C16" s="30"/>
      <c r="D16" s="30"/>
      <c r="E16" s="30"/>
      <c r="F16" s="30"/>
    </row>
    <row r="17" spans="1:6" x14ac:dyDescent="0.2">
      <c r="A17" s="16"/>
      <c r="B17" s="16"/>
      <c r="C17" s="16"/>
      <c r="D17" s="16"/>
      <c r="E17" s="16"/>
      <c r="F17" s="16"/>
    </row>
    <row r="18" spans="1:6" x14ac:dyDescent="0.2">
      <c r="A18" s="30"/>
      <c r="B18" s="30"/>
      <c r="C18" s="30"/>
      <c r="D18" s="30"/>
      <c r="E18" s="30"/>
      <c r="F18" s="30"/>
    </row>
    <row r="19" spans="1:6" x14ac:dyDescent="0.2">
      <c r="A19" s="16"/>
      <c r="B19" s="16"/>
      <c r="C19" s="16"/>
      <c r="D19" s="16"/>
      <c r="E19" s="16"/>
      <c r="F19" s="16"/>
    </row>
    <row r="20" spans="1:6" x14ac:dyDescent="0.2">
      <c r="A20" s="30"/>
      <c r="B20" s="30"/>
      <c r="C20" s="30"/>
      <c r="D20" s="30"/>
      <c r="E20" s="30"/>
      <c r="F20" s="30"/>
    </row>
    <row r="21" spans="1:6" x14ac:dyDescent="0.2">
      <c r="A21" s="16"/>
      <c r="B21" s="16"/>
      <c r="C21" s="16"/>
      <c r="D21" s="16"/>
      <c r="E21" s="16"/>
      <c r="F21" s="16"/>
    </row>
    <row r="22" spans="1:6" x14ac:dyDescent="0.2">
      <c r="A22" s="30"/>
      <c r="B22" s="30"/>
      <c r="C22" s="30"/>
      <c r="D22" s="30"/>
      <c r="E22" s="30"/>
      <c r="F22" s="30"/>
    </row>
    <row r="23" spans="1:6" x14ac:dyDescent="0.2">
      <c r="A23" s="16"/>
      <c r="B23" s="16"/>
      <c r="C23" s="16"/>
      <c r="D23" s="16"/>
      <c r="E23" s="16"/>
      <c r="F23" s="16"/>
    </row>
    <row r="24" spans="1:6" x14ac:dyDescent="0.2">
      <c r="A24" s="30"/>
      <c r="B24" s="30"/>
      <c r="C24" s="30"/>
      <c r="D24" s="30"/>
      <c r="E24" s="30"/>
      <c r="F24" s="30"/>
    </row>
    <row r="25" spans="1:6" x14ac:dyDescent="0.2">
      <c r="A25" s="16"/>
      <c r="B25" s="16"/>
      <c r="C25" s="16"/>
      <c r="D25" s="16"/>
      <c r="E25" s="16"/>
      <c r="F25" s="16"/>
    </row>
    <row r="26" spans="1:6" x14ac:dyDescent="0.2">
      <c r="A26" s="30"/>
      <c r="B26" s="30"/>
      <c r="C26" s="30"/>
      <c r="D26" s="30"/>
      <c r="E26" s="30"/>
      <c r="F26" s="30"/>
    </row>
    <row r="27" spans="1:6" x14ac:dyDescent="0.2">
      <c r="A27" s="16"/>
      <c r="B27" s="16"/>
      <c r="C27" s="16"/>
      <c r="D27" s="16"/>
      <c r="E27" s="16"/>
      <c r="F27" s="16"/>
    </row>
    <row r="28" spans="1:6" x14ac:dyDescent="0.2">
      <c r="A28" s="30"/>
      <c r="B28" s="30"/>
      <c r="C28" s="30"/>
      <c r="D28" s="30"/>
      <c r="E28" s="30"/>
      <c r="F28" s="30"/>
    </row>
    <row r="29" spans="1:6" x14ac:dyDescent="0.2">
      <c r="A29" s="16"/>
      <c r="B29" s="16"/>
      <c r="C29" s="16"/>
      <c r="D29" s="16"/>
      <c r="E29" s="16"/>
      <c r="F29" s="16"/>
    </row>
    <row r="30" spans="1:6" x14ac:dyDescent="0.2">
      <c r="A30" s="30"/>
      <c r="B30" s="30"/>
      <c r="C30" s="30"/>
      <c r="D30" s="30"/>
      <c r="E30" s="30"/>
      <c r="F30" s="30"/>
    </row>
    <row r="31" spans="1:6" x14ac:dyDescent="0.2">
      <c r="A31" s="16"/>
      <c r="B31" s="16"/>
      <c r="C31" s="16"/>
      <c r="D31" s="16"/>
      <c r="E31" s="16"/>
      <c r="F31" s="16"/>
    </row>
    <row r="32" spans="1:6" x14ac:dyDescent="0.2">
      <c r="A32" s="30"/>
      <c r="B32" s="30"/>
      <c r="C32" s="30"/>
      <c r="D32" s="30"/>
      <c r="E32" s="30"/>
      <c r="F32" s="30"/>
    </row>
    <row r="33" spans="1:6" x14ac:dyDescent="0.2">
      <c r="A33" s="16"/>
      <c r="B33" s="16"/>
      <c r="C33" s="16"/>
      <c r="D33" s="16"/>
      <c r="E33" s="16"/>
      <c r="F33" s="16"/>
    </row>
    <row r="34" spans="1:6" x14ac:dyDescent="0.2">
      <c r="A34" s="30"/>
      <c r="B34" s="30"/>
      <c r="C34" s="30"/>
      <c r="D34" s="30"/>
      <c r="E34" s="30"/>
      <c r="F34" s="30"/>
    </row>
    <row r="35" spans="1:6" x14ac:dyDescent="0.2">
      <c r="A35" s="16"/>
      <c r="B35" s="16"/>
      <c r="C35" s="16"/>
      <c r="D35" s="16"/>
      <c r="E35" s="16"/>
      <c r="F35" s="16"/>
    </row>
    <row r="36" spans="1:6" x14ac:dyDescent="0.2">
      <c r="A36" s="30"/>
      <c r="B36" s="30"/>
      <c r="C36" s="30"/>
      <c r="D36" s="30"/>
      <c r="E36" s="30"/>
      <c r="F36" s="30"/>
    </row>
    <row r="37" spans="1:6" x14ac:dyDescent="0.2">
      <c r="A37" s="16"/>
      <c r="B37" s="16"/>
      <c r="C37" s="16"/>
      <c r="D37" s="16"/>
      <c r="E37" s="16"/>
      <c r="F37" s="16"/>
    </row>
    <row r="38" spans="1:6" x14ac:dyDescent="0.2">
      <c r="A38" s="30"/>
      <c r="B38" s="30"/>
      <c r="C38" s="30"/>
      <c r="D38" s="30"/>
      <c r="E38" s="30"/>
      <c r="F38" s="30"/>
    </row>
    <row r="39" spans="1:6" x14ac:dyDescent="0.2">
      <c r="A39" s="16"/>
      <c r="B39" s="16"/>
      <c r="C39" s="16"/>
      <c r="D39" s="16"/>
      <c r="E39" s="16"/>
      <c r="F39" s="16"/>
    </row>
    <row r="40" spans="1:6" x14ac:dyDescent="0.2">
      <c r="A40" s="30"/>
      <c r="B40" s="30"/>
      <c r="C40" s="30"/>
      <c r="D40" s="30"/>
      <c r="E40" s="30"/>
      <c r="F40" s="30"/>
    </row>
    <row r="41" spans="1:6" x14ac:dyDescent="0.2">
      <c r="A41" s="16"/>
      <c r="B41" s="16"/>
      <c r="C41" s="16"/>
      <c r="D41" s="16"/>
      <c r="E41" s="16"/>
      <c r="F41" s="16"/>
    </row>
    <row r="42" spans="1:6" x14ac:dyDescent="0.2">
      <c r="A42" s="30"/>
      <c r="B42" s="30"/>
      <c r="C42" s="30"/>
      <c r="D42" s="30"/>
      <c r="E42" s="30"/>
      <c r="F42" s="30"/>
    </row>
    <row r="43" spans="1:6" x14ac:dyDescent="0.2">
      <c r="A43" s="16"/>
      <c r="B43" s="16"/>
      <c r="C43" s="16"/>
      <c r="D43" s="16"/>
      <c r="E43" s="16"/>
      <c r="F43" s="16"/>
    </row>
    <row r="44" spans="1:6" x14ac:dyDescent="0.2">
      <c r="A44" s="30"/>
      <c r="B44" s="30"/>
      <c r="C44" s="30"/>
      <c r="D44" s="30"/>
      <c r="E44" s="30"/>
      <c r="F44" s="30"/>
    </row>
    <row r="45" spans="1:6" x14ac:dyDescent="0.2">
      <c r="A45" s="16"/>
      <c r="B45" s="16"/>
      <c r="C45" s="16"/>
      <c r="D45" s="16"/>
      <c r="E45" s="16"/>
      <c r="F45" s="16"/>
    </row>
    <row r="46" spans="1:6" x14ac:dyDescent="0.2">
      <c r="A46" s="30"/>
      <c r="B46" s="30"/>
      <c r="C46" s="30"/>
      <c r="D46" s="30"/>
      <c r="E46" s="30"/>
      <c r="F46" s="30"/>
    </row>
    <row r="47" spans="1:6" x14ac:dyDescent="0.2">
      <c r="A47" s="26"/>
      <c r="B47" s="26"/>
      <c r="C47" s="26"/>
      <c r="D47" s="26"/>
      <c r="E47" s="26"/>
      <c r="F47" s="26"/>
    </row>
  </sheetData>
  <conditionalFormatting sqref="A2:F47">
    <cfRule type="expression" dxfId="23" priority="1">
      <formula>$E2="Done"</formula>
    </cfRule>
    <cfRule type="expression" dxfId="22" priority="2">
      <formula>$A2="bthm"</formula>
    </cfRule>
    <cfRule type="expression" dxfId="21" priority="3">
      <formula>$A2="mcs"</formula>
    </cfRule>
    <cfRule type="expression" dxfId="20" priority="4">
      <formula>$A2="public speaking"</formula>
    </cfRule>
    <cfRule type="expression" dxfId="19" priority="5">
      <formula>$A2="principles of microeconomics"</formula>
    </cfRule>
  </conditionalFormatting>
  <pageMargins left="0.7" right="0.7" top="0.75" bottom="0.75" header="0.3" footer="0.3"/>
  <pageSetup orientation="portrait" useFirstPageNumber="1" horizontalDpi="4294967295" verticalDpi="4294967295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I47"/>
  <sheetViews>
    <sheetView zoomScale="138" zoomScaleNormal="138" workbookViewId="0">
      <pane ySplit="1" topLeftCell="A2" activePane="bottomLeft" state="frozen"/>
      <selection pane="bottomLeft" activeCell="K10" sqref="K10"/>
    </sheetView>
  </sheetViews>
  <sheetFormatPr baseColWidth="10" defaultColWidth="8.83203125" defaultRowHeight="15" x14ac:dyDescent="0.2"/>
  <cols>
    <col min="1" max="3" width="12" customWidth="1"/>
    <col min="4" max="4" width="20.1640625" customWidth="1"/>
    <col min="5" max="5" width="19" customWidth="1"/>
    <col min="6" max="6" width="20.33203125" customWidth="1"/>
    <col min="7" max="7" width="21" customWidth="1"/>
    <col min="8" max="9" width="12" customWidth="1"/>
  </cols>
  <sheetData>
    <row r="1" spans="1:9" ht="22" customHeight="1" x14ac:dyDescent="0.2">
      <c r="A1" s="17" t="s">
        <v>17</v>
      </c>
      <c r="B1" s="18" t="s">
        <v>18</v>
      </c>
      <c r="C1" s="18" t="s">
        <v>10</v>
      </c>
      <c r="D1" s="18" t="s">
        <v>32</v>
      </c>
      <c r="E1" s="18" t="s">
        <v>33</v>
      </c>
      <c r="F1" s="18" t="s">
        <v>34</v>
      </c>
      <c r="G1" s="18" t="s">
        <v>35</v>
      </c>
      <c r="H1" s="18" t="s">
        <v>36</v>
      </c>
      <c r="I1" s="19" t="s">
        <v>13</v>
      </c>
    </row>
    <row r="2" spans="1:9" x14ac:dyDescent="0.2">
      <c r="A2" s="28"/>
      <c r="B2" s="15"/>
      <c r="C2" s="15"/>
      <c r="D2" s="15"/>
      <c r="E2" s="15"/>
      <c r="F2" s="15"/>
      <c r="G2" s="14"/>
      <c r="H2" s="15"/>
      <c r="I2" s="21"/>
    </row>
    <row r="3" spans="1:9" x14ac:dyDescent="0.2">
      <c r="A3" s="22"/>
      <c r="B3" s="16"/>
      <c r="C3" s="16"/>
      <c r="D3" s="16"/>
      <c r="E3" s="16"/>
      <c r="F3" s="16"/>
      <c r="G3" s="16"/>
      <c r="H3" s="16"/>
      <c r="I3" s="23"/>
    </row>
    <row r="4" spans="1:9" x14ac:dyDescent="0.2">
      <c r="A4" s="24"/>
      <c r="B4" s="15"/>
      <c r="C4" s="15"/>
      <c r="D4" s="15"/>
      <c r="E4" s="15"/>
      <c r="F4" s="15"/>
      <c r="G4" s="15"/>
      <c r="H4" s="15"/>
      <c r="I4" s="21"/>
    </row>
    <row r="5" spans="1:9" x14ac:dyDescent="0.2">
      <c r="A5" s="22"/>
      <c r="B5" s="16"/>
      <c r="C5" s="16"/>
      <c r="D5" s="16"/>
      <c r="E5" s="16"/>
      <c r="F5" s="16"/>
      <c r="G5" s="16"/>
      <c r="H5" s="16"/>
      <c r="I5" s="23"/>
    </row>
    <row r="6" spans="1:9" x14ac:dyDescent="0.2">
      <c r="A6" s="24"/>
      <c r="B6" s="15"/>
      <c r="C6" s="15"/>
      <c r="D6" s="15"/>
      <c r="E6" s="15"/>
      <c r="F6" s="15"/>
      <c r="G6" s="15"/>
      <c r="H6" s="15"/>
      <c r="I6" s="21"/>
    </row>
    <row r="7" spans="1:9" x14ac:dyDescent="0.2">
      <c r="A7" s="22"/>
      <c r="B7" s="16"/>
      <c r="C7" s="16"/>
      <c r="D7" s="16"/>
      <c r="E7" s="16"/>
      <c r="F7" s="16"/>
      <c r="G7" s="16"/>
      <c r="H7" s="16"/>
      <c r="I7" s="23"/>
    </row>
    <row r="8" spans="1:9" x14ac:dyDescent="0.2">
      <c r="A8" s="24"/>
      <c r="B8" s="15"/>
      <c r="C8" s="15"/>
      <c r="D8" s="15"/>
      <c r="E8" s="15"/>
      <c r="F8" s="15"/>
      <c r="G8" s="15"/>
      <c r="H8" s="15"/>
      <c r="I8" s="21"/>
    </row>
    <row r="9" spans="1:9" x14ac:dyDescent="0.2">
      <c r="A9" s="22"/>
      <c r="B9" s="16"/>
      <c r="C9" s="16"/>
      <c r="D9" s="16"/>
      <c r="E9" s="16"/>
      <c r="F9" s="16"/>
      <c r="G9" s="16"/>
      <c r="H9" s="16"/>
      <c r="I9" s="23"/>
    </row>
    <row r="10" spans="1:9" x14ac:dyDescent="0.2">
      <c r="A10" s="24"/>
      <c r="B10" s="15"/>
      <c r="C10" s="15"/>
      <c r="D10" s="15"/>
      <c r="E10" s="15"/>
      <c r="F10" s="15"/>
      <c r="G10" s="15"/>
      <c r="H10" s="15"/>
      <c r="I10" s="21"/>
    </row>
    <row r="11" spans="1:9" x14ac:dyDescent="0.2">
      <c r="A11" s="22"/>
      <c r="B11" s="16"/>
      <c r="C11" s="16"/>
      <c r="D11" s="16"/>
      <c r="E11" s="16"/>
      <c r="F11" s="16"/>
      <c r="G11" s="16"/>
      <c r="H11" s="16"/>
      <c r="I11" s="23"/>
    </row>
    <row r="12" spans="1:9" x14ac:dyDescent="0.2">
      <c r="A12" s="24"/>
      <c r="B12" s="15"/>
      <c r="C12" s="15"/>
      <c r="D12" s="15"/>
      <c r="E12" s="15"/>
      <c r="F12" s="15"/>
      <c r="G12" s="15"/>
      <c r="H12" s="15"/>
      <c r="I12" s="21"/>
    </row>
    <row r="13" spans="1:9" x14ac:dyDescent="0.2">
      <c r="A13" s="22"/>
      <c r="B13" s="16"/>
      <c r="C13" s="16"/>
      <c r="D13" s="16"/>
      <c r="E13" s="16"/>
      <c r="F13" s="16"/>
      <c r="G13" s="16"/>
      <c r="H13" s="16"/>
      <c r="I13" s="23"/>
    </row>
    <row r="14" spans="1:9" x14ac:dyDescent="0.2">
      <c r="A14" s="24"/>
      <c r="B14" s="15"/>
      <c r="C14" s="15"/>
      <c r="D14" s="15"/>
      <c r="E14" s="15"/>
      <c r="F14" s="15"/>
      <c r="G14" s="15"/>
      <c r="H14" s="15"/>
      <c r="I14" s="21"/>
    </row>
    <row r="15" spans="1:9" x14ac:dyDescent="0.2">
      <c r="A15" s="22"/>
      <c r="B15" s="16"/>
      <c r="C15" s="16"/>
      <c r="D15" s="16"/>
      <c r="E15" s="16"/>
      <c r="F15" s="16"/>
      <c r="G15" s="16"/>
      <c r="H15" s="16"/>
      <c r="I15" s="23"/>
    </row>
    <row r="16" spans="1:9" x14ac:dyDescent="0.2">
      <c r="A16" s="24"/>
      <c r="B16" s="15"/>
      <c r="C16" s="15"/>
      <c r="D16" s="15"/>
      <c r="E16" s="15"/>
      <c r="F16" s="15"/>
      <c r="G16" s="15"/>
      <c r="H16" s="15"/>
      <c r="I16" s="21"/>
    </row>
    <row r="17" spans="1:9" x14ac:dyDescent="0.2">
      <c r="A17" s="22"/>
      <c r="B17" s="16"/>
      <c r="C17" s="16"/>
      <c r="D17" s="16"/>
      <c r="E17" s="16"/>
      <c r="F17" s="16"/>
      <c r="G17" s="16"/>
      <c r="H17" s="16"/>
      <c r="I17" s="23"/>
    </row>
    <row r="18" spans="1:9" x14ac:dyDescent="0.2">
      <c r="A18" s="24"/>
      <c r="B18" s="15"/>
      <c r="C18" s="15"/>
      <c r="D18" s="15"/>
      <c r="E18" s="15"/>
      <c r="F18" s="15"/>
      <c r="G18" s="15"/>
      <c r="H18" s="15"/>
      <c r="I18" s="21"/>
    </row>
    <row r="19" spans="1:9" x14ac:dyDescent="0.2">
      <c r="A19" s="22"/>
      <c r="B19" s="16"/>
      <c r="C19" s="16"/>
      <c r="D19" s="16"/>
      <c r="E19" s="16"/>
      <c r="F19" s="16"/>
      <c r="G19" s="16"/>
      <c r="H19" s="16"/>
      <c r="I19" s="23"/>
    </row>
    <row r="20" spans="1:9" x14ac:dyDescent="0.2">
      <c r="A20" s="24"/>
      <c r="B20" s="15"/>
      <c r="C20" s="15"/>
      <c r="D20" s="15"/>
      <c r="E20" s="15"/>
      <c r="F20" s="15"/>
      <c r="G20" s="15"/>
      <c r="H20" s="15"/>
      <c r="I20" s="21"/>
    </row>
    <row r="21" spans="1:9" x14ac:dyDescent="0.2">
      <c r="A21" s="22"/>
      <c r="B21" s="16"/>
      <c r="C21" s="16"/>
      <c r="D21" s="16"/>
      <c r="E21" s="16"/>
      <c r="F21" s="16"/>
      <c r="G21" s="16"/>
      <c r="H21" s="16"/>
      <c r="I21" s="23"/>
    </row>
    <row r="22" spans="1:9" x14ac:dyDescent="0.2">
      <c r="A22" s="24"/>
      <c r="B22" s="15"/>
      <c r="C22" s="15"/>
      <c r="D22" s="15"/>
      <c r="E22" s="15"/>
      <c r="F22" s="15"/>
      <c r="G22" s="15"/>
      <c r="H22" s="15"/>
      <c r="I22" s="21"/>
    </row>
    <row r="23" spans="1:9" x14ac:dyDescent="0.2">
      <c r="A23" s="22"/>
      <c r="B23" s="16"/>
      <c r="C23" s="16"/>
      <c r="D23" s="16"/>
      <c r="E23" s="16"/>
      <c r="F23" s="16"/>
      <c r="G23" s="16"/>
      <c r="H23" s="16"/>
      <c r="I23" s="23"/>
    </row>
    <row r="24" spans="1:9" x14ac:dyDescent="0.2">
      <c r="A24" s="24"/>
      <c r="B24" s="15"/>
      <c r="C24" s="15"/>
      <c r="D24" s="15"/>
      <c r="E24" s="15"/>
      <c r="F24" s="15"/>
      <c r="G24" s="15"/>
      <c r="H24" s="15"/>
      <c r="I24" s="21"/>
    </row>
    <row r="25" spans="1:9" x14ac:dyDescent="0.2">
      <c r="A25" s="22"/>
      <c r="B25" s="16"/>
      <c r="C25" s="16"/>
      <c r="D25" s="16"/>
      <c r="E25" s="16"/>
      <c r="F25" s="16"/>
      <c r="G25" s="16"/>
      <c r="H25" s="16"/>
      <c r="I25" s="23"/>
    </row>
    <row r="26" spans="1:9" x14ac:dyDescent="0.2">
      <c r="A26" s="24"/>
      <c r="B26" s="15"/>
      <c r="C26" s="15"/>
      <c r="D26" s="15"/>
      <c r="E26" s="15"/>
      <c r="F26" s="15"/>
      <c r="G26" s="15"/>
      <c r="H26" s="15"/>
      <c r="I26" s="21"/>
    </row>
    <row r="27" spans="1:9" x14ac:dyDescent="0.2">
      <c r="A27" s="22"/>
      <c r="B27" s="16"/>
      <c r="C27" s="16"/>
      <c r="D27" s="16"/>
      <c r="E27" s="16"/>
      <c r="F27" s="16"/>
      <c r="G27" s="16"/>
      <c r="H27" s="16"/>
      <c r="I27" s="23"/>
    </row>
    <row r="28" spans="1:9" x14ac:dyDescent="0.2">
      <c r="A28" s="24"/>
      <c r="B28" s="15"/>
      <c r="C28" s="15"/>
      <c r="D28" s="15"/>
      <c r="E28" s="15"/>
      <c r="F28" s="15"/>
      <c r="G28" s="15"/>
      <c r="H28" s="15"/>
      <c r="I28" s="21"/>
    </row>
    <row r="29" spans="1:9" x14ac:dyDescent="0.2">
      <c r="A29" s="22"/>
      <c r="B29" s="16"/>
      <c r="C29" s="16"/>
      <c r="D29" s="16"/>
      <c r="E29" s="16"/>
      <c r="F29" s="16"/>
      <c r="G29" s="16"/>
      <c r="H29" s="16"/>
      <c r="I29" s="23"/>
    </row>
    <row r="30" spans="1:9" x14ac:dyDescent="0.2">
      <c r="A30" s="24"/>
      <c r="B30" s="15"/>
      <c r="C30" s="15"/>
      <c r="D30" s="15"/>
      <c r="E30" s="15"/>
      <c r="F30" s="15"/>
      <c r="G30" s="15"/>
      <c r="H30" s="15"/>
      <c r="I30" s="21"/>
    </row>
    <row r="31" spans="1:9" x14ac:dyDescent="0.2">
      <c r="A31" s="22"/>
      <c r="B31" s="16"/>
      <c r="C31" s="16"/>
      <c r="D31" s="16"/>
      <c r="E31" s="16"/>
      <c r="F31" s="16"/>
      <c r="G31" s="16"/>
      <c r="H31" s="16"/>
      <c r="I31" s="23"/>
    </row>
    <row r="32" spans="1:9" x14ac:dyDescent="0.2">
      <c r="A32" s="24"/>
      <c r="B32" s="15"/>
      <c r="C32" s="15"/>
      <c r="D32" s="15"/>
      <c r="E32" s="15"/>
      <c r="F32" s="15"/>
      <c r="G32" s="15"/>
      <c r="H32" s="15"/>
      <c r="I32" s="21"/>
    </row>
    <row r="33" spans="1:9" x14ac:dyDescent="0.2">
      <c r="A33" s="22"/>
      <c r="B33" s="16"/>
      <c r="C33" s="16"/>
      <c r="D33" s="16"/>
      <c r="E33" s="16"/>
      <c r="F33" s="16"/>
      <c r="G33" s="16"/>
      <c r="H33" s="16"/>
      <c r="I33" s="23"/>
    </row>
    <row r="34" spans="1:9" x14ac:dyDescent="0.2">
      <c r="A34" s="24"/>
      <c r="B34" s="15"/>
      <c r="C34" s="15"/>
      <c r="D34" s="15"/>
      <c r="E34" s="15"/>
      <c r="F34" s="15"/>
      <c r="G34" s="15"/>
      <c r="H34" s="15"/>
      <c r="I34" s="21"/>
    </row>
    <row r="35" spans="1:9" x14ac:dyDescent="0.2">
      <c r="A35" s="22"/>
      <c r="B35" s="16"/>
      <c r="C35" s="16"/>
      <c r="D35" s="16"/>
      <c r="E35" s="16"/>
      <c r="F35" s="16"/>
      <c r="G35" s="16"/>
      <c r="H35" s="16"/>
      <c r="I35" s="23"/>
    </row>
    <row r="36" spans="1:9" x14ac:dyDescent="0.2">
      <c r="A36" s="24"/>
      <c r="B36" s="15"/>
      <c r="C36" s="15"/>
      <c r="D36" s="15"/>
      <c r="E36" s="15"/>
      <c r="F36" s="15"/>
      <c r="G36" s="15"/>
      <c r="H36" s="15"/>
      <c r="I36" s="21"/>
    </row>
    <row r="37" spans="1:9" x14ac:dyDescent="0.2">
      <c r="A37" s="22"/>
      <c r="B37" s="16"/>
      <c r="C37" s="16"/>
      <c r="D37" s="16"/>
      <c r="E37" s="16"/>
      <c r="F37" s="16"/>
      <c r="G37" s="16"/>
      <c r="H37" s="16"/>
      <c r="I37" s="23"/>
    </row>
    <row r="38" spans="1:9" x14ac:dyDescent="0.2">
      <c r="A38" s="24"/>
      <c r="B38" s="15"/>
      <c r="C38" s="15"/>
      <c r="D38" s="15"/>
      <c r="E38" s="15"/>
      <c r="F38" s="15"/>
      <c r="G38" s="15"/>
      <c r="H38" s="15"/>
      <c r="I38" s="21"/>
    </row>
    <row r="39" spans="1:9" x14ac:dyDescent="0.2">
      <c r="A39" s="22"/>
      <c r="B39" s="16"/>
      <c r="C39" s="16"/>
      <c r="D39" s="16"/>
      <c r="E39" s="16"/>
      <c r="F39" s="16"/>
      <c r="G39" s="16"/>
      <c r="H39" s="16"/>
      <c r="I39" s="23"/>
    </row>
    <row r="40" spans="1:9" x14ac:dyDescent="0.2">
      <c r="A40" s="24"/>
      <c r="B40" s="15"/>
      <c r="C40" s="15"/>
      <c r="D40" s="15"/>
      <c r="E40" s="15"/>
      <c r="F40" s="15"/>
      <c r="G40" s="15"/>
      <c r="H40" s="15"/>
      <c r="I40" s="21"/>
    </row>
    <row r="41" spans="1:9" x14ac:dyDescent="0.2">
      <c r="A41" s="22"/>
      <c r="B41" s="16"/>
      <c r="C41" s="16"/>
      <c r="D41" s="16"/>
      <c r="E41" s="16"/>
      <c r="F41" s="16"/>
      <c r="G41" s="16"/>
      <c r="H41" s="16"/>
      <c r="I41" s="23"/>
    </row>
    <row r="42" spans="1:9" x14ac:dyDescent="0.2">
      <c r="A42" s="24"/>
      <c r="B42" s="15"/>
      <c r="C42" s="15"/>
      <c r="D42" s="15"/>
      <c r="E42" s="15"/>
      <c r="F42" s="15"/>
      <c r="G42" s="15"/>
      <c r="H42" s="15"/>
      <c r="I42" s="21"/>
    </row>
    <row r="43" spans="1:9" x14ac:dyDescent="0.2">
      <c r="A43" s="22"/>
      <c r="B43" s="16"/>
      <c r="C43" s="16"/>
      <c r="D43" s="16"/>
      <c r="E43" s="16"/>
      <c r="F43" s="16"/>
      <c r="G43" s="16"/>
      <c r="H43" s="16"/>
      <c r="I43" s="23"/>
    </row>
    <row r="44" spans="1:9" x14ac:dyDescent="0.2">
      <c r="A44" s="24"/>
      <c r="B44" s="15"/>
      <c r="C44" s="15"/>
      <c r="D44" s="15"/>
      <c r="E44" s="15"/>
      <c r="F44" s="15"/>
      <c r="G44" s="15"/>
      <c r="H44" s="15"/>
      <c r="I44" s="21"/>
    </row>
    <row r="45" spans="1:9" x14ac:dyDescent="0.2">
      <c r="A45" s="22"/>
      <c r="B45" s="16"/>
      <c r="C45" s="16"/>
      <c r="D45" s="16"/>
      <c r="E45" s="16"/>
      <c r="F45" s="16"/>
      <c r="G45" s="16"/>
      <c r="H45" s="16"/>
      <c r="I45" s="23"/>
    </row>
    <row r="46" spans="1:9" x14ac:dyDescent="0.2">
      <c r="A46" s="24"/>
      <c r="B46" s="15"/>
      <c r="C46" s="15"/>
      <c r="D46" s="15"/>
      <c r="E46" s="15"/>
      <c r="F46" s="15"/>
      <c r="G46" s="15"/>
      <c r="H46" s="15"/>
      <c r="I46" s="21"/>
    </row>
    <row r="47" spans="1:9" x14ac:dyDescent="0.2">
      <c r="A47" s="25"/>
      <c r="B47" s="26"/>
      <c r="C47" s="26"/>
      <c r="D47" s="26"/>
      <c r="E47" s="26"/>
      <c r="F47" s="26"/>
      <c r="G47" s="26"/>
      <c r="H47" s="26"/>
      <c r="I47" s="27"/>
    </row>
  </sheetData>
  <conditionalFormatting sqref="A2:I47">
    <cfRule type="expression" dxfId="18" priority="1">
      <formula>$E2="Done"</formula>
    </cfRule>
    <cfRule type="expression" dxfId="17" priority="2">
      <formula>$A2="bthm"</formula>
    </cfRule>
    <cfRule type="expression" dxfId="16" priority="3">
      <formula>$A2="mcs"</formula>
    </cfRule>
    <cfRule type="expression" dxfId="15" priority="4">
      <formula>$A2="public speaking"</formula>
    </cfRule>
    <cfRule type="expression" dxfId="14" priority="5">
      <formula>$A2="principles of microeconomics"</formula>
    </cfRule>
  </conditionalFormatting>
  <pageMargins left="0.7" right="0.7" top="0.75" bottom="0.75" header="0.3" footer="0.3"/>
  <pageSetup orientation="portrait" useFirstPageNumber="1" horizontalDpi="4294967295" verticalDpi="4294967295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G47"/>
  <sheetViews>
    <sheetView zoomScale="125" zoomScaleNormal="125" workbookViewId="0">
      <pane ySplit="1" topLeftCell="A2" activePane="bottomLeft" state="frozen"/>
      <selection pane="bottomLeft" activeCell="I9" sqref="I9"/>
    </sheetView>
  </sheetViews>
  <sheetFormatPr baseColWidth="10" defaultColWidth="8.83203125" defaultRowHeight="15" x14ac:dyDescent="0.2"/>
  <cols>
    <col min="1" max="1" width="24.33203125" customWidth="1"/>
    <col min="2" max="3" width="12" customWidth="1"/>
    <col min="4" max="4" width="13" customWidth="1"/>
    <col min="5" max="5" width="12" customWidth="1"/>
    <col min="6" max="6" width="15" customWidth="1"/>
    <col min="7" max="7" width="12" customWidth="1"/>
  </cols>
  <sheetData>
    <row r="1" spans="1:7" ht="22" customHeight="1" x14ac:dyDescent="0.2">
      <c r="A1" s="1" t="s">
        <v>16</v>
      </c>
      <c r="B1" s="1" t="s">
        <v>28</v>
      </c>
      <c r="C1" s="1" t="s">
        <v>10</v>
      </c>
      <c r="D1" s="1" t="s">
        <v>29</v>
      </c>
      <c r="E1" s="1" t="s">
        <v>30</v>
      </c>
      <c r="F1" s="1" t="s">
        <v>31</v>
      </c>
      <c r="G1" s="1" t="s">
        <v>13</v>
      </c>
    </row>
    <row r="2" spans="1:7" x14ac:dyDescent="0.2">
      <c r="A2" s="7"/>
      <c r="B2" s="11"/>
      <c r="C2" s="7"/>
      <c r="D2" s="7"/>
      <c r="E2" s="7"/>
      <c r="F2" s="7"/>
      <c r="G2" s="7"/>
    </row>
    <row r="3" spans="1:7" x14ac:dyDescent="0.2">
      <c r="A3" s="9"/>
      <c r="B3" s="9"/>
      <c r="C3" s="9"/>
      <c r="D3" s="9"/>
      <c r="E3" s="9"/>
      <c r="F3" s="9"/>
      <c r="G3" s="9"/>
    </row>
    <row r="4" spans="1:7" x14ac:dyDescent="0.2">
      <c r="A4" s="7"/>
      <c r="B4" s="7"/>
      <c r="C4" s="7"/>
      <c r="D4" s="7"/>
      <c r="E4" s="7"/>
      <c r="F4" s="7"/>
      <c r="G4" s="7"/>
    </row>
    <row r="5" spans="1:7" x14ac:dyDescent="0.2">
      <c r="A5" s="9"/>
      <c r="B5" s="9"/>
      <c r="C5" s="9"/>
      <c r="D5" s="9"/>
      <c r="E5" s="9"/>
      <c r="F5" s="9"/>
      <c r="G5" s="9"/>
    </row>
    <row r="6" spans="1:7" x14ac:dyDescent="0.2">
      <c r="A6" s="7"/>
      <c r="B6" s="7"/>
      <c r="C6" s="7"/>
      <c r="D6" s="7"/>
      <c r="E6" s="7"/>
      <c r="F6" s="7"/>
      <c r="G6" s="7"/>
    </row>
    <row r="7" spans="1:7" x14ac:dyDescent="0.2">
      <c r="A7" s="9"/>
      <c r="B7" s="9"/>
      <c r="C7" s="9"/>
      <c r="D7" s="9"/>
      <c r="E7" s="9"/>
      <c r="F7" s="9"/>
      <c r="G7" s="9"/>
    </row>
    <row r="8" spans="1:7" x14ac:dyDescent="0.2">
      <c r="A8" s="7"/>
      <c r="B8" s="7"/>
      <c r="C8" s="7"/>
      <c r="D8" s="7"/>
      <c r="E8" s="7"/>
      <c r="F8" s="7"/>
      <c r="G8" s="7"/>
    </row>
    <row r="9" spans="1:7" x14ac:dyDescent="0.2">
      <c r="A9" s="9"/>
      <c r="B9" s="9"/>
      <c r="C9" s="9"/>
      <c r="D9" s="9"/>
      <c r="E9" s="9"/>
      <c r="F9" s="9"/>
      <c r="G9" s="9"/>
    </row>
    <row r="10" spans="1:7" x14ac:dyDescent="0.2">
      <c r="A10" s="7"/>
      <c r="B10" s="7"/>
      <c r="C10" s="7"/>
      <c r="D10" s="7"/>
      <c r="E10" s="7"/>
      <c r="F10" s="7"/>
      <c r="G10" s="7"/>
    </row>
    <row r="11" spans="1:7" x14ac:dyDescent="0.2">
      <c r="A11" s="9"/>
      <c r="B11" s="9"/>
      <c r="C11" s="9"/>
      <c r="D11" s="9"/>
      <c r="E11" s="9"/>
      <c r="F11" s="9"/>
      <c r="G11" s="9"/>
    </row>
    <row r="12" spans="1:7" x14ac:dyDescent="0.2">
      <c r="A12" s="7"/>
      <c r="B12" s="7"/>
      <c r="C12" s="7"/>
      <c r="D12" s="7"/>
      <c r="E12" s="7"/>
      <c r="F12" s="7"/>
      <c r="G12" s="7"/>
    </row>
    <row r="13" spans="1:7" x14ac:dyDescent="0.2">
      <c r="A13" s="9"/>
      <c r="B13" s="9"/>
      <c r="C13" s="9"/>
      <c r="D13" s="9"/>
      <c r="E13" s="9"/>
      <c r="F13" s="9"/>
      <c r="G13" s="9"/>
    </row>
    <row r="14" spans="1:7" x14ac:dyDescent="0.2">
      <c r="A14" s="7"/>
      <c r="B14" s="7"/>
      <c r="C14" s="7"/>
      <c r="D14" s="7"/>
      <c r="E14" s="7"/>
      <c r="F14" s="7"/>
      <c r="G14" s="7"/>
    </row>
    <row r="15" spans="1:7" x14ac:dyDescent="0.2">
      <c r="A15" s="9"/>
      <c r="B15" s="9"/>
      <c r="C15" s="9"/>
      <c r="D15" s="9"/>
      <c r="E15" s="9"/>
      <c r="F15" s="9"/>
      <c r="G15" s="9"/>
    </row>
    <row r="16" spans="1:7" x14ac:dyDescent="0.2">
      <c r="A16" s="7"/>
      <c r="B16" s="7"/>
      <c r="C16" s="7"/>
      <c r="D16" s="7"/>
      <c r="E16" s="7"/>
      <c r="F16" s="7"/>
      <c r="G16" s="7"/>
    </row>
    <row r="17" spans="1:7" x14ac:dyDescent="0.2">
      <c r="A17" s="9"/>
      <c r="B17" s="9"/>
      <c r="C17" s="9"/>
      <c r="D17" s="9"/>
      <c r="E17" s="9"/>
      <c r="F17" s="9"/>
      <c r="G17" s="9"/>
    </row>
    <row r="18" spans="1:7" x14ac:dyDescent="0.2">
      <c r="A18" s="7"/>
      <c r="B18" s="7"/>
      <c r="C18" s="7"/>
      <c r="D18" s="7"/>
      <c r="E18" s="7"/>
      <c r="F18" s="7"/>
      <c r="G18" s="7"/>
    </row>
    <row r="19" spans="1:7" x14ac:dyDescent="0.2">
      <c r="A19" s="9"/>
      <c r="B19" s="9"/>
      <c r="C19" s="9"/>
      <c r="D19" s="9"/>
      <c r="E19" s="9"/>
      <c r="F19" s="9"/>
      <c r="G19" s="9"/>
    </row>
    <row r="20" spans="1:7" x14ac:dyDescent="0.2">
      <c r="A20" s="7"/>
      <c r="B20" s="7"/>
      <c r="C20" s="7"/>
      <c r="D20" s="7"/>
      <c r="E20" s="7"/>
      <c r="F20" s="7"/>
      <c r="G20" s="7"/>
    </row>
    <row r="21" spans="1:7" x14ac:dyDescent="0.2">
      <c r="A21" s="9"/>
      <c r="B21" s="9"/>
      <c r="C21" s="9"/>
      <c r="D21" s="9"/>
      <c r="E21" s="9"/>
      <c r="F21" s="9"/>
      <c r="G21" s="9"/>
    </row>
    <row r="22" spans="1:7" x14ac:dyDescent="0.2">
      <c r="A22" s="7"/>
      <c r="B22" s="7"/>
      <c r="C22" s="7"/>
      <c r="D22" s="7"/>
      <c r="E22" s="7"/>
      <c r="F22" s="7"/>
      <c r="G22" s="7"/>
    </row>
    <row r="23" spans="1:7" x14ac:dyDescent="0.2">
      <c r="A23" s="9"/>
      <c r="B23" s="9"/>
      <c r="C23" s="9"/>
      <c r="D23" s="9"/>
      <c r="E23" s="9"/>
      <c r="F23" s="9"/>
      <c r="G23" s="9"/>
    </row>
    <row r="24" spans="1:7" x14ac:dyDescent="0.2">
      <c r="A24" s="7"/>
      <c r="B24" s="7"/>
      <c r="C24" s="7"/>
      <c r="D24" s="7"/>
      <c r="E24" s="7"/>
      <c r="F24" s="7"/>
      <c r="G24" s="7"/>
    </row>
    <row r="25" spans="1:7" x14ac:dyDescent="0.2">
      <c r="A25" s="9"/>
      <c r="B25" s="9"/>
      <c r="C25" s="9"/>
      <c r="D25" s="9"/>
      <c r="E25" s="9"/>
      <c r="F25" s="9"/>
      <c r="G25" s="9"/>
    </row>
    <row r="26" spans="1:7" x14ac:dyDescent="0.2">
      <c r="A26" s="7"/>
      <c r="B26" s="7"/>
      <c r="C26" s="7"/>
      <c r="D26" s="7"/>
      <c r="E26" s="7"/>
      <c r="F26" s="7"/>
      <c r="G26" s="7"/>
    </row>
    <row r="27" spans="1:7" x14ac:dyDescent="0.2">
      <c r="A27" s="9"/>
      <c r="B27" s="9"/>
      <c r="C27" s="9"/>
      <c r="D27" s="9"/>
      <c r="E27" s="9"/>
      <c r="F27" s="9"/>
      <c r="G27" s="9"/>
    </row>
    <row r="28" spans="1:7" x14ac:dyDescent="0.2">
      <c r="A28" s="7"/>
      <c r="B28" s="7"/>
      <c r="C28" s="7"/>
      <c r="D28" s="7"/>
      <c r="E28" s="7"/>
      <c r="F28" s="7"/>
      <c r="G28" s="7"/>
    </row>
    <row r="29" spans="1:7" x14ac:dyDescent="0.2">
      <c r="A29" s="9"/>
      <c r="B29" s="9"/>
      <c r="C29" s="9"/>
      <c r="D29" s="9"/>
      <c r="E29" s="9"/>
      <c r="F29" s="9"/>
      <c r="G29" s="9"/>
    </row>
    <row r="30" spans="1:7" x14ac:dyDescent="0.2">
      <c r="A30" s="7"/>
      <c r="B30" s="7"/>
      <c r="C30" s="7"/>
      <c r="D30" s="7"/>
      <c r="E30" s="7"/>
      <c r="F30" s="7"/>
      <c r="G30" s="7"/>
    </row>
    <row r="31" spans="1:7" x14ac:dyDescent="0.2">
      <c r="A31" s="9"/>
      <c r="B31" s="9"/>
      <c r="C31" s="9"/>
      <c r="D31" s="9"/>
      <c r="E31" s="9"/>
      <c r="F31" s="9"/>
      <c r="G31" s="9"/>
    </row>
    <row r="32" spans="1:7" x14ac:dyDescent="0.2">
      <c r="A32" s="7"/>
      <c r="B32" s="7"/>
      <c r="C32" s="7"/>
      <c r="D32" s="7"/>
      <c r="E32" s="7"/>
      <c r="F32" s="7"/>
      <c r="G32" s="7"/>
    </row>
    <row r="33" spans="1:7" x14ac:dyDescent="0.2">
      <c r="A33" s="9"/>
      <c r="B33" s="9"/>
      <c r="C33" s="9"/>
      <c r="D33" s="9"/>
      <c r="E33" s="9"/>
      <c r="F33" s="9"/>
      <c r="G33" s="9"/>
    </row>
    <row r="34" spans="1:7" x14ac:dyDescent="0.2">
      <c r="A34" s="7"/>
      <c r="B34" s="7"/>
      <c r="C34" s="7"/>
      <c r="D34" s="7"/>
      <c r="E34" s="7"/>
      <c r="F34" s="7"/>
      <c r="G34" s="7"/>
    </row>
    <row r="35" spans="1:7" x14ac:dyDescent="0.2">
      <c r="A35" s="9"/>
      <c r="B35" s="9"/>
      <c r="C35" s="9"/>
      <c r="D35" s="9"/>
      <c r="E35" s="9"/>
      <c r="F35" s="9"/>
      <c r="G35" s="9"/>
    </row>
    <row r="36" spans="1:7" x14ac:dyDescent="0.2">
      <c r="A36" s="7"/>
      <c r="B36" s="7"/>
      <c r="C36" s="7"/>
      <c r="D36" s="7"/>
      <c r="E36" s="7"/>
      <c r="F36" s="7"/>
      <c r="G36" s="7"/>
    </row>
    <row r="37" spans="1:7" x14ac:dyDescent="0.2">
      <c r="A37" s="9"/>
      <c r="B37" s="9"/>
      <c r="C37" s="9"/>
      <c r="D37" s="9"/>
      <c r="E37" s="9"/>
      <c r="F37" s="9"/>
      <c r="G37" s="9"/>
    </row>
    <row r="38" spans="1:7" x14ac:dyDescent="0.2">
      <c r="A38" s="7"/>
      <c r="B38" s="7"/>
      <c r="C38" s="7"/>
      <c r="D38" s="7"/>
      <c r="E38" s="7"/>
      <c r="F38" s="7"/>
      <c r="G38" s="7"/>
    </row>
    <row r="39" spans="1:7" x14ac:dyDescent="0.2">
      <c r="A39" s="9"/>
      <c r="B39" s="9"/>
      <c r="C39" s="9"/>
      <c r="D39" s="9"/>
      <c r="E39" s="9"/>
      <c r="F39" s="9"/>
      <c r="G39" s="9"/>
    </row>
    <row r="40" spans="1:7" x14ac:dyDescent="0.2">
      <c r="A40" s="7"/>
      <c r="B40" s="7"/>
      <c r="C40" s="7"/>
      <c r="D40" s="7"/>
      <c r="E40" s="7"/>
      <c r="F40" s="7"/>
      <c r="G40" s="7"/>
    </row>
    <row r="41" spans="1:7" x14ac:dyDescent="0.2">
      <c r="A41" s="9"/>
      <c r="B41" s="9"/>
      <c r="C41" s="9"/>
      <c r="D41" s="9"/>
      <c r="E41" s="9"/>
      <c r="F41" s="9"/>
      <c r="G41" s="9"/>
    </row>
    <row r="42" spans="1:7" x14ac:dyDescent="0.2">
      <c r="A42" s="7"/>
      <c r="B42" s="7"/>
      <c r="C42" s="7"/>
      <c r="D42" s="7"/>
      <c r="E42" s="7"/>
      <c r="F42" s="7"/>
      <c r="G42" s="7"/>
    </row>
    <row r="43" spans="1:7" x14ac:dyDescent="0.2">
      <c r="A43" s="9"/>
      <c r="B43" s="9"/>
      <c r="C43" s="9"/>
      <c r="D43" s="9"/>
      <c r="E43" s="9"/>
      <c r="F43" s="9"/>
      <c r="G43" s="9"/>
    </row>
    <row r="44" spans="1:7" x14ac:dyDescent="0.2">
      <c r="A44" s="7"/>
      <c r="B44" s="7"/>
      <c r="C44" s="7"/>
      <c r="D44" s="7"/>
      <c r="E44" s="7"/>
      <c r="F44" s="7"/>
      <c r="G44" s="7"/>
    </row>
    <row r="45" spans="1:7" x14ac:dyDescent="0.2">
      <c r="A45" s="9"/>
      <c r="B45" s="9"/>
      <c r="C45" s="9"/>
      <c r="D45" s="9"/>
      <c r="E45" s="9"/>
      <c r="F45" s="9"/>
      <c r="G45" s="9"/>
    </row>
    <row r="46" spans="1:7" x14ac:dyDescent="0.2">
      <c r="A46" s="7"/>
      <c r="B46" s="7"/>
      <c r="C46" s="7"/>
      <c r="D46" s="7"/>
      <c r="E46" s="7"/>
      <c r="F46" s="7"/>
      <c r="G46" s="7"/>
    </row>
    <row r="47" spans="1:7" x14ac:dyDescent="0.2">
      <c r="A47" s="9"/>
      <c r="B47" s="9"/>
      <c r="C47" s="9"/>
      <c r="D47" s="9"/>
      <c r="E47" s="9"/>
      <c r="F47" s="9"/>
      <c r="G47" s="9"/>
    </row>
  </sheetData>
  <conditionalFormatting sqref="A2:G47">
    <cfRule type="expression" dxfId="13" priority="1">
      <formula>$E2="Done"</formula>
    </cfRule>
    <cfRule type="expression" dxfId="12" priority="2">
      <formula>$A2="bthm"</formula>
    </cfRule>
    <cfRule type="expression" dxfId="11" priority="3">
      <formula>$A2="mcs"</formula>
    </cfRule>
    <cfRule type="expression" dxfId="10" priority="4">
      <formula>$A2="public speaking"</formula>
    </cfRule>
    <cfRule type="expression" dxfId="9" priority="5">
      <formula>$A2="principles of microeconomics"</formula>
    </cfRule>
  </conditionalFormatting>
  <pageMargins left="0.7" right="0.7" top="0.75" bottom="0.75" header="0.3" footer="0.3"/>
  <pageSetup orientation="portrait" useFirstPageNumber="1" horizontalDpi="4294967295" verticalDpi="4294967295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H2"/>
  <sheetViews>
    <sheetView zoomScale="136" zoomScaleNormal="136" workbookViewId="0">
      <pane ySplit="1" topLeftCell="A2" activePane="bottomLeft" state="frozen"/>
      <selection activeCell="I28" sqref="I28"/>
      <selection pane="bottomLeft" activeCell="E13" sqref="E13"/>
    </sheetView>
  </sheetViews>
  <sheetFormatPr baseColWidth="10" defaultColWidth="8.83203125" defaultRowHeight="15" x14ac:dyDescent="0.2"/>
  <cols>
    <col min="1" max="1" width="23.83203125" customWidth="1"/>
    <col min="2" max="2" width="38" customWidth="1"/>
    <col min="3" max="3" width="13.33203125" customWidth="1"/>
    <col min="4" max="5" width="12" customWidth="1"/>
    <col min="6" max="6" width="19" customWidth="1"/>
    <col min="7" max="7" width="16" customWidth="1"/>
    <col min="8" max="8" width="12" customWidth="1"/>
  </cols>
  <sheetData>
    <row r="1" spans="1:8" ht="22" customHeight="1" x14ac:dyDescent="0.2">
      <c r="A1" s="1" t="s">
        <v>47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12</v>
      </c>
      <c r="H1" s="1" t="s">
        <v>13</v>
      </c>
    </row>
    <row r="2" spans="1:8" x14ac:dyDescent="0.2">
      <c r="C2" s="4"/>
    </row>
  </sheetData>
  <conditionalFormatting sqref="A2:H2000">
    <cfRule type="expression" dxfId="102" priority="1">
      <formula>$E2="Done"</formula>
    </cfRule>
    <cfRule type="expression" dxfId="101" priority="4">
      <formula>$A2="bthm"</formula>
    </cfRule>
    <cfRule type="expression" dxfId="100" priority="5">
      <formula>$A2="mcs"</formula>
    </cfRule>
    <cfRule type="expression" dxfId="99" priority="6">
      <formula>$A2="public speaking"</formula>
    </cfRule>
    <cfRule type="expression" dxfId="98" priority="7">
      <formula>$A2="principles of microeconomics"</formula>
    </cfRule>
  </conditionalFormatting>
  <pageMargins left="0.7" right="0.7" top="0.75" bottom="0.75" header="0.3" footer="0.3"/>
  <pageSetup orientation="portrait" useFirstPageNumber="1" horizontalDpi="4294967295" verticalDpi="4294967295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G48"/>
  <sheetViews>
    <sheetView zoomScale="138" zoomScaleNormal="138" workbookViewId="0">
      <pane ySplit="1" topLeftCell="A2" activePane="bottomLeft" state="frozen"/>
      <selection pane="bottomLeft" activeCell="G54" sqref="G54"/>
    </sheetView>
  </sheetViews>
  <sheetFormatPr baseColWidth="10" defaultColWidth="8.83203125" defaultRowHeight="15" x14ac:dyDescent="0.2"/>
  <cols>
    <col min="1" max="1" width="23.83203125" customWidth="1"/>
    <col min="2" max="2" width="17" customWidth="1"/>
    <col min="3" max="3" width="13" customWidth="1"/>
    <col min="4" max="5" width="12" customWidth="1"/>
    <col min="6" max="6" width="16" customWidth="1"/>
    <col min="7" max="7" width="12" customWidth="1"/>
  </cols>
  <sheetData>
    <row r="1" spans="1:7" ht="22" customHeight="1" x14ac:dyDescent="0.2">
      <c r="A1" s="1" t="s">
        <v>6</v>
      </c>
      <c r="B1" s="1" t="s">
        <v>24</v>
      </c>
      <c r="C1" s="1" t="s">
        <v>15</v>
      </c>
      <c r="D1" s="1" t="s">
        <v>25</v>
      </c>
      <c r="E1" s="1" t="s">
        <v>26</v>
      </c>
      <c r="F1" s="1" t="s">
        <v>27</v>
      </c>
      <c r="G1" s="1" t="s">
        <v>13</v>
      </c>
    </row>
    <row r="2" spans="1:7" x14ac:dyDescent="0.2">
      <c r="A2" s="6"/>
      <c r="B2" s="7"/>
      <c r="C2" s="11"/>
      <c r="D2" s="7"/>
      <c r="E2" s="7"/>
      <c r="F2" s="7"/>
      <c r="G2" s="7"/>
    </row>
    <row r="3" spans="1:7" x14ac:dyDescent="0.2">
      <c r="A3" s="8"/>
      <c r="B3" s="9"/>
      <c r="C3" s="9"/>
      <c r="D3" s="9"/>
      <c r="E3" s="9"/>
      <c r="F3" s="9"/>
      <c r="G3" s="9"/>
    </row>
    <row r="4" spans="1:7" x14ac:dyDescent="0.2">
      <c r="A4" s="6"/>
      <c r="B4" s="7"/>
      <c r="C4" s="7"/>
      <c r="D4" s="7"/>
      <c r="E4" s="7"/>
      <c r="F4" s="7"/>
      <c r="G4" s="7"/>
    </row>
    <row r="5" spans="1:7" x14ac:dyDescent="0.2">
      <c r="A5" s="8"/>
      <c r="B5" s="9"/>
      <c r="C5" s="9"/>
      <c r="D5" s="9"/>
      <c r="E5" s="9"/>
      <c r="F5" s="9"/>
      <c r="G5" s="9"/>
    </row>
    <row r="6" spans="1:7" x14ac:dyDescent="0.2">
      <c r="A6" s="6"/>
      <c r="B6" s="7"/>
      <c r="C6" s="7"/>
      <c r="D6" s="7"/>
      <c r="E6" s="7"/>
      <c r="F6" s="7"/>
      <c r="G6" s="7"/>
    </row>
    <row r="7" spans="1:7" x14ac:dyDescent="0.2">
      <c r="A7" s="8"/>
      <c r="B7" s="9"/>
      <c r="C7" s="9"/>
      <c r="D7" s="9"/>
      <c r="E7" s="9"/>
      <c r="F7" s="9"/>
      <c r="G7" s="9"/>
    </row>
    <row r="8" spans="1:7" x14ac:dyDescent="0.2">
      <c r="A8" s="6"/>
      <c r="B8" s="7"/>
      <c r="C8" s="7"/>
      <c r="D8" s="7"/>
      <c r="E8" s="7"/>
      <c r="F8" s="7"/>
      <c r="G8" s="7"/>
    </row>
    <row r="9" spans="1:7" x14ac:dyDescent="0.2">
      <c r="A9" s="8"/>
      <c r="B9" s="9"/>
      <c r="C9" s="9"/>
      <c r="D9" s="9"/>
      <c r="E9" s="9"/>
      <c r="F9" s="9"/>
      <c r="G9" s="9"/>
    </row>
    <row r="10" spans="1:7" x14ac:dyDescent="0.2">
      <c r="A10" s="6"/>
      <c r="B10" s="7"/>
      <c r="C10" s="7"/>
      <c r="D10" s="7"/>
      <c r="E10" s="7"/>
      <c r="F10" s="7"/>
      <c r="G10" s="7"/>
    </row>
    <row r="11" spans="1:7" x14ac:dyDescent="0.2">
      <c r="A11" s="8"/>
      <c r="B11" s="9"/>
      <c r="C11" s="9"/>
      <c r="D11" s="9"/>
      <c r="E11" s="9"/>
      <c r="F11" s="9"/>
      <c r="G11" s="9"/>
    </row>
    <row r="12" spans="1:7" x14ac:dyDescent="0.2">
      <c r="A12" s="6"/>
      <c r="B12" s="7"/>
      <c r="C12" s="7"/>
      <c r="D12" s="7"/>
      <c r="E12" s="7"/>
      <c r="F12" s="7"/>
      <c r="G12" s="7"/>
    </row>
    <row r="13" spans="1:7" x14ac:dyDescent="0.2">
      <c r="A13" s="8"/>
      <c r="B13" s="9"/>
      <c r="C13" s="9"/>
      <c r="D13" s="9"/>
      <c r="E13" s="9"/>
      <c r="F13" s="9"/>
      <c r="G13" s="9"/>
    </row>
    <row r="14" spans="1:7" x14ac:dyDescent="0.2">
      <c r="A14" s="6"/>
      <c r="B14" s="7"/>
      <c r="C14" s="7"/>
      <c r="D14" s="7"/>
      <c r="E14" s="7"/>
      <c r="F14" s="7"/>
      <c r="G14" s="7"/>
    </row>
    <row r="15" spans="1:7" x14ac:dyDescent="0.2">
      <c r="A15" s="8"/>
      <c r="B15" s="9"/>
      <c r="C15" s="9"/>
      <c r="D15" s="9"/>
      <c r="E15" s="9"/>
      <c r="F15" s="9"/>
      <c r="G15" s="9"/>
    </row>
    <row r="16" spans="1:7" x14ac:dyDescent="0.2">
      <c r="A16" s="6"/>
      <c r="B16" s="7"/>
      <c r="C16" s="7"/>
      <c r="D16" s="7"/>
      <c r="E16" s="7"/>
      <c r="F16" s="7"/>
      <c r="G16" s="7"/>
    </row>
    <row r="17" spans="1:7" x14ac:dyDescent="0.2">
      <c r="A17" s="8"/>
      <c r="B17" s="9"/>
      <c r="C17" s="9"/>
      <c r="D17" s="9"/>
      <c r="E17" s="9"/>
      <c r="F17" s="9"/>
      <c r="G17" s="9"/>
    </row>
    <row r="18" spans="1:7" x14ac:dyDescent="0.2">
      <c r="A18" s="6"/>
      <c r="B18" s="7"/>
      <c r="C18" s="7"/>
      <c r="D18" s="7"/>
      <c r="E18" s="7"/>
      <c r="F18" s="7"/>
      <c r="G18" s="7"/>
    </row>
    <row r="19" spans="1:7" x14ac:dyDescent="0.2">
      <c r="A19" s="8"/>
      <c r="B19" s="9"/>
      <c r="C19" s="9"/>
      <c r="D19" s="9"/>
      <c r="E19" s="9"/>
      <c r="F19" s="9"/>
      <c r="G19" s="9"/>
    </row>
    <row r="20" spans="1:7" x14ac:dyDescent="0.2">
      <c r="A20" s="6"/>
      <c r="B20" s="7"/>
      <c r="C20" s="7"/>
      <c r="D20" s="7"/>
      <c r="E20" s="7"/>
      <c r="F20" s="7"/>
      <c r="G20" s="7"/>
    </row>
    <row r="21" spans="1:7" x14ac:dyDescent="0.2">
      <c r="A21" s="8"/>
      <c r="B21" s="9"/>
      <c r="C21" s="9"/>
      <c r="D21" s="9"/>
      <c r="E21" s="9"/>
      <c r="F21" s="9"/>
      <c r="G21" s="9"/>
    </row>
    <row r="22" spans="1:7" x14ac:dyDescent="0.2">
      <c r="A22" s="6"/>
      <c r="B22" s="7"/>
      <c r="C22" s="7"/>
      <c r="D22" s="7"/>
      <c r="E22" s="7"/>
      <c r="F22" s="7"/>
      <c r="G22" s="7"/>
    </row>
    <row r="23" spans="1:7" x14ac:dyDescent="0.2">
      <c r="A23" s="8"/>
      <c r="B23" s="9"/>
      <c r="C23" s="9"/>
      <c r="D23" s="9"/>
      <c r="E23" s="9"/>
      <c r="F23" s="9"/>
      <c r="G23" s="9"/>
    </row>
    <row r="24" spans="1:7" x14ac:dyDescent="0.2">
      <c r="A24" s="6"/>
      <c r="B24" s="7"/>
      <c r="C24" s="7"/>
      <c r="D24" s="7"/>
      <c r="E24" s="7"/>
      <c r="F24" s="7"/>
      <c r="G24" s="7"/>
    </row>
    <row r="25" spans="1:7" x14ac:dyDescent="0.2">
      <c r="A25" s="8"/>
      <c r="B25" s="9"/>
      <c r="C25" s="9"/>
      <c r="D25" s="9"/>
      <c r="E25" s="9"/>
      <c r="F25" s="9"/>
      <c r="G25" s="9"/>
    </row>
    <row r="26" spans="1:7" x14ac:dyDescent="0.2">
      <c r="A26" s="6"/>
      <c r="B26" s="7"/>
      <c r="C26" s="7"/>
      <c r="D26" s="7"/>
      <c r="E26" s="7"/>
      <c r="F26" s="7"/>
      <c r="G26" s="7"/>
    </row>
    <row r="27" spans="1:7" x14ac:dyDescent="0.2">
      <c r="A27" s="8"/>
      <c r="B27" s="9"/>
      <c r="C27" s="9"/>
      <c r="D27" s="9"/>
      <c r="E27" s="9"/>
      <c r="F27" s="9"/>
      <c r="G27" s="9"/>
    </row>
    <row r="28" spans="1:7" x14ac:dyDescent="0.2">
      <c r="A28" s="6"/>
      <c r="B28" s="7"/>
      <c r="C28" s="7"/>
      <c r="D28" s="7"/>
      <c r="E28" s="7"/>
      <c r="F28" s="7"/>
      <c r="G28" s="7"/>
    </row>
    <row r="29" spans="1:7" x14ac:dyDescent="0.2">
      <c r="A29" s="8"/>
      <c r="B29" s="9"/>
      <c r="C29" s="9"/>
      <c r="D29" s="9"/>
      <c r="E29" s="9"/>
      <c r="F29" s="9"/>
      <c r="G29" s="9"/>
    </row>
    <row r="30" spans="1:7" x14ac:dyDescent="0.2">
      <c r="A30" s="6"/>
      <c r="B30" s="7"/>
      <c r="C30" s="7"/>
      <c r="D30" s="7"/>
      <c r="E30" s="7"/>
      <c r="F30" s="7"/>
      <c r="G30" s="7"/>
    </row>
    <row r="31" spans="1:7" x14ac:dyDescent="0.2">
      <c r="A31" s="8"/>
      <c r="B31" s="9"/>
      <c r="C31" s="9"/>
      <c r="D31" s="9"/>
      <c r="E31" s="9"/>
      <c r="F31" s="9"/>
      <c r="G31" s="9"/>
    </row>
    <row r="32" spans="1:7" x14ac:dyDescent="0.2">
      <c r="A32" s="6"/>
      <c r="B32" s="7"/>
      <c r="C32" s="7"/>
      <c r="D32" s="7"/>
      <c r="E32" s="7"/>
      <c r="F32" s="7"/>
      <c r="G32" s="7"/>
    </row>
    <row r="33" spans="1:7" x14ac:dyDescent="0.2">
      <c r="A33" s="8"/>
      <c r="B33" s="9"/>
      <c r="C33" s="9"/>
      <c r="D33" s="9"/>
      <c r="E33" s="9"/>
      <c r="F33" s="9"/>
      <c r="G33" s="9"/>
    </row>
    <row r="34" spans="1:7" x14ac:dyDescent="0.2">
      <c r="A34" s="6"/>
      <c r="B34" s="7"/>
      <c r="C34" s="7"/>
      <c r="D34" s="7"/>
      <c r="E34" s="7"/>
      <c r="F34" s="7"/>
      <c r="G34" s="7"/>
    </row>
    <row r="35" spans="1:7" x14ac:dyDescent="0.2">
      <c r="A35" s="8"/>
      <c r="B35" s="9"/>
      <c r="C35" s="9"/>
      <c r="D35" s="9"/>
      <c r="E35" s="9"/>
      <c r="F35" s="9"/>
      <c r="G35" s="9"/>
    </row>
    <row r="36" spans="1:7" x14ac:dyDescent="0.2">
      <c r="A36" s="6"/>
      <c r="B36" s="7"/>
      <c r="C36" s="7"/>
      <c r="D36" s="7"/>
      <c r="E36" s="7"/>
      <c r="F36" s="7"/>
      <c r="G36" s="7"/>
    </row>
    <row r="37" spans="1:7" x14ac:dyDescent="0.2">
      <c r="A37" s="8"/>
      <c r="B37" s="9"/>
      <c r="C37" s="9"/>
      <c r="D37" s="9"/>
      <c r="E37" s="9"/>
      <c r="F37" s="9"/>
      <c r="G37" s="9"/>
    </row>
    <row r="38" spans="1:7" x14ac:dyDescent="0.2">
      <c r="A38" s="6"/>
      <c r="B38" s="7"/>
      <c r="C38" s="7"/>
      <c r="D38" s="7"/>
      <c r="E38" s="7"/>
      <c r="F38" s="7"/>
      <c r="G38" s="7"/>
    </row>
    <row r="39" spans="1:7" x14ac:dyDescent="0.2">
      <c r="A39" s="8"/>
      <c r="B39" s="9"/>
      <c r="C39" s="9"/>
      <c r="D39" s="9"/>
      <c r="E39" s="9"/>
      <c r="F39" s="9"/>
      <c r="G39" s="9"/>
    </row>
    <row r="40" spans="1:7" x14ac:dyDescent="0.2">
      <c r="A40" s="6"/>
      <c r="B40" s="7"/>
      <c r="C40" s="7"/>
      <c r="D40" s="7"/>
      <c r="E40" s="7"/>
      <c r="F40" s="7"/>
      <c r="G40" s="7"/>
    </row>
    <row r="41" spans="1:7" x14ac:dyDescent="0.2">
      <c r="A41" s="8"/>
      <c r="B41" s="9"/>
      <c r="C41" s="9"/>
      <c r="D41" s="9"/>
      <c r="E41" s="9"/>
      <c r="F41" s="9"/>
      <c r="G41" s="9"/>
    </row>
    <row r="42" spans="1:7" x14ac:dyDescent="0.2">
      <c r="A42" s="6"/>
      <c r="B42" s="7"/>
      <c r="C42" s="7"/>
      <c r="D42" s="7"/>
      <c r="E42" s="7"/>
      <c r="F42" s="7"/>
      <c r="G42" s="7"/>
    </row>
    <row r="43" spans="1:7" x14ac:dyDescent="0.2">
      <c r="A43" s="8"/>
      <c r="B43" s="9"/>
      <c r="C43" s="9"/>
      <c r="D43" s="9"/>
      <c r="E43" s="9"/>
      <c r="F43" s="9"/>
      <c r="G43" s="9"/>
    </row>
    <row r="44" spans="1:7" x14ac:dyDescent="0.2">
      <c r="A44" s="6"/>
      <c r="B44" s="7"/>
      <c r="C44" s="7"/>
      <c r="D44" s="7"/>
      <c r="E44" s="7"/>
      <c r="F44" s="7"/>
      <c r="G44" s="7"/>
    </row>
    <row r="45" spans="1:7" x14ac:dyDescent="0.2">
      <c r="A45" s="8"/>
      <c r="B45" s="9"/>
      <c r="C45" s="9"/>
      <c r="D45" s="9"/>
      <c r="E45" s="9"/>
      <c r="F45" s="9"/>
      <c r="G45" s="9"/>
    </row>
    <row r="46" spans="1:7" x14ac:dyDescent="0.2">
      <c r="A46" s="6"/>
      <c r="B46" s="7"/>
      <c r="C46" s="7"/>
      <c r="D46" s="7"/>
      <c r="E46" s="7"/>
      <c r="F46" s="7"/>
      <c r="G46" s="7"/>
    </row>
    <row r="47" spans="1:7" x14ac:dyDescent="0.2">
      <c r="A47" s="8"/>
      <c r="B47" s="9"/>
      <c r="C47" s="9"/>
      <c r="D47" s="9"/>
      <c r="E47" s="9"/>
      <c r="F47" s="9"/>
      <c r="G47" s="9"/>
    </row>
    <row r="48" spans="1:7" x14ac:dyDescent="0.2">
      <c r="A48" s="6"/>
      <c r="B48" s="7"/>
      <c r="C48" s="7"/>
      <c r="D48" s="7"/>
      <c r="E48" s="7"/>
      <c r="F48" s="7"/>
      <c r="G48" s="7"/>
    </row>
  </sheetData>
  <conditionalFormatting sqref="A49:G2000">
    <cfRule type="expression" dxfId="8" priority="6">
      <formula>$A49="principles of microeconomics"</formula>
    </cfRule>
    <cfRule type="expression" dxfId="7" priority="7">
      <formula>$A49="public speaking"</formula>
    </cfRule>
    <cfRule type="expression" dxfId="6" priority="8">
      <formula>$A49="mcs"</formula>
    </cfRule>
    <cfRule type="expression" dxfId="5" priority="9">
      <formula>$A49="bthm"</formula>
    </cfRule>
  </conditionalFormatting>
  <conditionalFormatting sqref="A2:H48">
    <cfRule type="expression" dxfId="4" priority="1">
      <formula>$E2="Done"</formula>
    </cfRule>
    <cfRule type="expression" dxfId="3" priority="2">
      <formula>$A2="bthm"</formula>
    </cfRule>
    <cfRule type="expression" dxfId="2" priority="3">
      <formula>$A2="mcs"</formula>
    </cfRule>
    <cfRule type="expression" dxfId="1" priority="4">
      <formula>$A2="public speaking"</formula>
    </cfRule>
    <cfRule type="expression" dxfId="0" priority="5">
      <formula>$A2="principles of microeconomics"</formula>
    </cfRule>
  </conditionalFormatting>
  <pageMargins left="0.7" right="0.7" top="0.75" bottom="0.75" header="0.3" footer="0.3"/>
  <pageSetup orientation="portrait" useFirstPageNumber="1" horizontalDpi="4294967295" verticalDpi="429496729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Dashboard</vt:lpstr>
      <vt:lpstr>Classes</vt:lpstr>
      <vt:lpstr>Assignments View</vt:lpstr>
      <vt:lpstr>Exams View</vt:lpstr>
      <vt:lpstr>Projects View</vt:lpstr>
      <vt:lpstr>Books View</vt:lpstr>
      <vt:lpstr>Tasks View</vt:lpstr>
      <vt:lpstr>Events View</vt:lpstr>
      <vt:lpstr>Life Tracker</vt:lpstr>
      <vt:lpstr>Events</vt:lpstr>
      <vt:lpstr>Tasks</vt:lpstr>
      <vt:lpstr>Books</vt:lpstr>
      <vt:lpstr>Projects</vt:lpstr>
      <vt:lpstr>Assignments</vt:lpstr>
      <vt:lpstr>Exams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2026-06-09T03:08:14Z</dcterms:created>
  <dcterms:modified xsi:type="dcterms:W3CDTF">2026-06-11T13:00:03Z</dcterms:modified>
  <cp:category/>
</cp:coreProperties>
</file>